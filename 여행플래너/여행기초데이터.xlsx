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지역" sheetId="2" state="visible" r:id="rId4"/>
    <sheet name="명소" sheetId="3" state="visible" r:id="rId5"/>
    <sheet name="숙소" sheetId="4" state="visible" r:id="rId6"/>
    <sheet name="식당" sheetId="5" state="visible" r:id="rId7"/>
    <sheet name="교통" sheetId="6" state="visible" r:id="rId8"/>
    <sheet name="견적기준" sheetId="7" state="visible" r:id="rId9"/>
    <sheet name="견적서양식" sheetId="8" state="visible" r:id="rId10"/>
  </sheets>
  <definedNames>
    <definedName function="false" hidden="true" localSheetId="6" name="_xlnm._FilterDatabase" vbProcedure="false">견적기준!$A$1:$C$10</definedName>
    <definedName function="false" hidden="true" localSheetId="5" name="_xlnm._FilterDatabase" vbProcedure="false">교통!$A$1:$F$17</definedName>
    <definedName function="false" hidden="true" localSheetId="2" name="_xlnm._FilterDatabase" vbProcedure="false">명소!$A$1:$I$49</definedName>
    <definedName function="false" hidden="true" localSheetId="3" name="_xlnm._FilterDatabase" vbProcedure="false">숙소!$A$1:$H$25</definedName>
    <definedName function="false" hidden="true" localSheetId="4" name="_xlnm._FilterDatabase" vbProcedure="false">식당!$A$1:$G$33</definedName>
    <definedName function="false" hidden="true" localSheetId="1" name="_xlnm._FilterDatabase" vbProcedure="false">지역!$A$1:$D$9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<sst xmlns="http://schemas.openxmlformats.org/spreadsheetml/2006/main" count="794" uniqueCount="363">
  <si>
    <r>
      <rPr>
        <b val="true"/>
        <sz val="14"/>
        <rFont val="Noto Sans CJK SC"/>
        <family val="2"/>
      </rPr>
      <t xml:space="preserve">여행 기초 데이터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실습용 가상 예시</t>
    </r>
    <r>
      <rPr>
        <b val="true"/>
        <sz val="14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</si>
  <si>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• 모든 장소명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가격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소요시간은 학습용으로 만든 가상 값입니다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실제 운영 시 자사 데이터로 교체하세요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</si>
  <si>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• 구성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지역 </t>
    </r>
    <r>
      <rPr>
        <sz val="11"/>
        <rFont val="Arial"/>
        <family val="0"/>
        <charset val="1"/>
      </rPr>
      <t xml:space="preserve">8</t>
    </r>
    <r>
      <rPr>
        <sz val="11"/>
        <rFont val="Noto Sans CJK SC"/>
        <family val="2"/>
      </rPr>
      <t xml:space="preserve">곳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명소 </t>
    </r>
    <r>
      <rPr>
        <sz val="11"/>
        <rFont val="Arial"/>
        <family val="0"/>
        <charset val="1"/>
      </rPr>
      <t xml:space="preserve">48</t>
    </r>
    <r>
      <rPr>
        <sz val="11"/>
        <rFont val="Noto Sans CJK SC"/>
        <family val="2"/>
      </rPr>
      <t xml:space="preserve">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숙소 </t>
    </r>
    <r>
      <rPr>
        <sz val="11"/>
        <rFont val="Arial"/>
        <family val="0"/>
        <charset val="1"/>
      </rPr>
      <t xml:space="preserve">24</t>
    </r>
    <r>
      <rPr>
        <sz val="11"/>
        <rFont val="Noto Sans CJK SC"/>
        <family val="2"/>
      </rPr>
      <t xml:space="preserve">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식당 </t>
    </r>
    <r>
      <rPr>
        <sz val="11"/>
        <rFont val="Arial"/>
        <family val="0"/>
        <charset val="1"/>
      </rPr>
      <t xml:space="preserve">32</t>
    </r>
    <r>
      <rPr>
        <sz val="11"/>
        <rFont val="Noto Sans CJK SC"/>
        <family val="2"/>
      </rPr>
      <t xml:space="preserve">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교통 </t>
    </r>
    <r>
      <rPr>
        <sz val="11"/>
        <rFont val="Arial"/>
        <family val="0"/>
        <charset val="1"/>
      </rPr>
      <t xml:space="preserve">16</t>
    </r>
    <r>
      <rPr>
        <sz val="11"/>
        <rFont val="Noto Sans CJK SC"/>
        <family val="2"/>
      </rPr>
      <t xml:space="preserve">구간</t>
    </r>
  </si>
  <si>
    <r>
      <rPr>
        <sz val="11"/>
        <rFont val="Noto Sans CJK SC"/>
        <family val="2"/>
      </rPr>
      <t xml:space="preserve">• 시트 연결 키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지역코드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명소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숙소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식당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출발지역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도착지역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교통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</si>
  <si>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• 테마태그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자연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역사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맛집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액티비티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휴식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쇼핑  </t>
    </r>
    <r>
      <rPr>
        <sz val="11"/>
        <rFont val="Arial"/>
        <family val="0"/>
        <charset val="1"/>
      </rPr>
      <t xml:space="preserve">/  </t>
    </r>
    <r>
      <rPr>
        <sz val="11"/>
        <rFont val="Noto Sans CJK SC"/>
        <family val="2"/>
      </rPr>
      <t xml:space="preserve">추천대상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가족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친구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연인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단체</t>
    </r>
  </si>
  <si>
    <r>
      <rPr>
        <sz val="11"/>
        <rFont val="Noto Sans CJK SC"/>
        <family val="2"/>
      </rPr>
      <t xml:space="preserve">• 여러 값은 </t>
    </r>
    <r>
      <rPr>
        <sz val="11"/>
        <rFont val="Arial"/>
        <family val="0"/>
        <charset val="1"/>
      </rPr>
      <t xml:space="preserve">| </t>
    </r>
    <r>
      <rPr>
        <sz val="11"/>
        <rFont val="Noto Sans CJK SC"/>
        <family val="2"/>
      </rPr>
      <t xml:space="preserve">로 구분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금액은 숫자만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빈칸 대신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없음</t>
    </r>
    <r>
      <rPr>
        <sz val="11"/>
        <rFont val="Arial"/>
        <family val="0"/>
        <charset val="1"/>
      </rPr>
      <t xml:space="preserve">'</t>
    </r>
  </si>
  <si>
    <r>
      <rPr>
        <sz val="11"/>
        <rFont val="Noto Sans CJK SC"/>
        <family val="2"/>
      </rPr>
      <t xml:space="preserve">• 노란 칸 </t>
    </r>
    <r>
      <rPr>
        <sz val="11"/>
        <rFont val="Arial"/>
        <family val="0"/>
        <charset val="1"/>
      </rPr>
      <t xml:space="preserve">= </t>
    </r>
    <r>
      <rPr>
        <sz val="11"/>
        <rFont val="Noto Sans CJK SC"/>
        <family val="2"/>
      </rPr>
      <t xml:space="preserve">학습자가 수정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입력하는 칸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견적기준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견적서양식</t>
    </r>
    <r>
      <rPr>
        <sz val="11"/>
        <rFont val="Arial"/>
        <family val="0"/>
        <charset val="1"/>
      </rPr>
      <t xml:space="preserve">)</t>
    </r>
  </si>
  <si>
    <t xml:space="preserve">지역코드</t>
  </si>
  <si>
    <t xml:space="preserve">지역명</t>
  </si>
  <si>
    <t xml:space="preserve">권역</t>
  </si>
  <si>
    <t xml:space="preserve">비고</t>
  </si>
  <si>
    <t xml:space="preserve">GN</t>
  </si>
  <si>
    <t xml:space="preserve">강릉</t>
  </si>
  <si>
    <t xml:space="preserve">강원 영동</t>
  </si>
  <si>
    <t xml:space="preserve">없음</t>
  </si>
  <si>
    <t xml:space="preserve">SC</t>
  </si>
  <si>
    <t xml:space="preserve">속초</t>
  </si>
  <si>
    <t xml:space="preserve">YY</t>
  </si>
  <si>
    <t xml:space="preserve">양양</t>
  </si>
  <si>
    <t xml:space="preserve">PC</t>
  </si>
  <si>
    <t xml:space="preserve">평창</t>
  </si>
  <si>
    <t xml:space="preserve">강원 영서</t>
  </si>
  <si>
    <t xml:space="preserve">GJ</t>
  </si>
  <si>
    <t xml:space="preserve">경주</t>
  </si>
  <si>
    <t xml:space="preserve">경북</t>
  </si>
  <si>
    <t xml:space="preserve">BS</t>
  </si>
  <si>
    <t xml:space="preserve">부산</t>
  </si>
  <si>
    <t xml:space="preserve">경남</t>
  </si>
  <si>
    <t xml:space="preserve">YS</t>
  </si>
  <si>
    <t xml:space="preserve">여수</t>
  </si>
  <si>
    <t xml:space="preserve">전남</t>
  </si>
  <si>
    <t xml:space="preserve">JJ</t>
  </si>
  <si>
    <t xml:space="preserve">전주</t>
  </si>
  <si>
    <t xml:space="preserve">전북</t>
  </si>
  <si>
    <r>
      <rPr>
        <b val="true"/>
        <sz val="11"/>
        <color rgb="FFFFFFFF"/>
        <rFont val="Noto Sans CJK SC"/>
        <family val="2"/>
      </rPr>
      <t xml:space="preserve">명소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</si>
  <si>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명소명</t>
  </si>
  <si>
    <t xml:space="preserve">테마태그</t>
  </si>
  <si>
    <t xml:space="preserve">추천대상</t>
  </si>
  <si>
    <r>
      <rPr>
        <b val="true"/>
        <sz val="11"/>
        <color rgb="FFFFFFFF"/>
        <rFont val="Noto Sans CJK SC"/>
        <family val="2"/>
      </rPr>
      <t xml:space="preserve">소요시간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시간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</si>
  <si>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성인 입장료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</si>
  <si>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아동 입장료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</si>
  <si>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휴무일</t>
  </si>
  <si>
    <t xml:space="preserve">S001</t>
  </si>
  <si>
    <r>
      <rPr>
        <sz val="11"/>
        <rFont val="Noto Sans CJK SC"/>
        <family val="2"/>
      </rPr>
      <t xml:space="preserve">강릉 카페거리 </t>
    </r>
    <r>
      <rPr>
        <sz val="11"/>
        <rFont val="Arial"/>
        <family val="0"/>
        <charset val="1"/>
      </rPr>
      <t xml:space="preserve">A</t>
    </r>
  </si>
  <si>
    <r>
      <rPr>
        <sz val="11"/>
        <rFont val="Noto Sans CJK SC"/>
        <family val="2"/>
      </rPr>
      <t xml:space="preserve">휴식</t>
    </r>
    <r>
      <rPr>
        <sz val="11"/>
        <rFont val="Arial"/>
        <family val="0"/>
        <charset val="1"/>
      </rPr>
      <t xml:space="preserve">|</t>
    </r>
    <r>
      <rPr>
        <sz val="11"/>
        <rFont val="Noto Sans CJK SC"/>
        <family val="2"/>
      </rPr>
      <t xml:space="preserve">맛집</t>
    </r>
  </si>
  <si>
    <r>
      <rPr>
        <sz val="11"/>
        <rFont val="Noto Sans CJK SC"/>
        <family val="2"/>
      </rPr>
      <t xml:space="preserve">연인</t>
    </r>
    <r>
      <rPr>
        <sz val="11"/>
        <rFont val="Arial"/>
        <family val="0"/>
        <charset val="1"/>
      </rPr>
      <t xml:space="preserve">|</t>
    </r>
    <r>
      <rPr>
        <sz val="11"/>
        <rFont val="Noto Sans CJK SC"/>
        <family val="2"/>
      </rPr>
      <t xml:space="preserve">친구</t>
    </r>
  </si>
  <si>
    <t xml:space="preserve">S002</t>
  </si>
  <si>
    <r>
      <rPr>
        <sz val="11"/>
        <rFont val="Noto Sans CJK SC"/>
        <family val="2"/>
      </rPr>
      <t xml:space="preserve">강릉 전통시장 </t>
    </r>
    <r>
      <rPr>
        <sz val="11"/>
        <rFont val="Arial"/>
        <family val="0"/>
        <charset val="1"/>
      </rPr>
      <t xml:space="preserve">B</t>
    </r>
  </si>
  <si>
    <r>
      <rPr>
        <sz val="11"/>
        <rFont val="Noto Sans CJK SC"/>
        <family val="2"/>
      </rPr>
      <t xml:space="preserve">맛집</t>
    </r>
    <r>
      <rPr>
        <sz val="11"/>
        <rFont val="Arial"/>
        <family val="0"/>
        <charset val="1"/>
      </rPr>
      <t xml:space="preserve">|</t>
    </r>
    <r>
      <rPr>
        <sz val="11"/>
        <rFont val="Noto Sans CJK SC"/>
        <family val="2"/>
      </rPr>
      <t xml:space="preserve">쇼핑</t>
    </r>
  </si>
  <si>
    <r>
      <rPr>
        <sz val="11"/>
        <rFont val="Noto Sans CJK SC"/>
        <family val="2"/>
      </rPr>
      <t xml:space="preserve">가족</t>
    </r>
    <r>
      <rPr>
        <sz val="11"/>
        <rFont val="Arial"/>
        <family val="0"/>
        <charset val="1"/>
      </rPr>
      <t xml:space="preserve">|</t>
    </r>
    <r>
      <rPr>
        <sz val="11"/>
        <rFont val="Noto Sans CJK SC"/>
        <family val="2"/>
      </rPr>
      <t xml:space="preserve">친구</t>
    </r>
    <r>
      <rPr>
        <sz val="11"/>
        <rFont val="Arial"/>
        <family val="0"/>
        <charset val="1"/>
      </rPr>
      <t xml:space="preserve">|</t>
    </r>
    <r>
      <rPr>
        <sz val="11"/>
        <rFont val="Noto Sans CJK SC"/>
        <family val="2"/>
      </rPr>
      <t xml:space="preserve">단체</t>
    </r>
  </si>
  <si>
    <t xml:space="preserve">S003</t>
  </si>
  <si>
    <r>
      <rPr>
        <sz val="11"/>
        <rFont val="Noto Sans CJK SC"/>
        <family val="2"/>
      </rPr>
      <t xml:space="preserve">강릉 전망대 </t>
    </r>
    <r>
      <rPr>
        <sz val="11"/>
        <rFont val="Arial"/>
        <family val="0"/>
        <charset val="1"/>
      </rPr>
      <t xml:space="preserve">C</t>
    </r>
  </si>
  <si>
    <r>
      <rPr>
        <sz val="11"/>
        <rFont val="Noto Sans CJK SC"/>
        <family val="2"/>
      </rPr>
      <t xml:space="preserve">자연</t>
    </r>
    <r>
      <rPr>
        <sz val="11"/>
        <rFont val="Arial"/>
        <family val="0"/>
        <charset val="1"/>
      </rPr>
      <t xml:space="preserve">|</t>
    </r>
    <r>
      <rPr>
        <sz val="11"/>
        <rFont val="Noto Sans CJK SC"/>
        <family val="2"/>
      </rPr>
      <t xml:space="preserve">액티비티</t>
    </r>
  </si>
  <si>
    <t xml:space="preserve">화</t>
  </si>
  <si>
    <t xml:space="preserve">S004</t>
  </si>
  <si>
    <r>
      <rPr>
        <sz val="11"/>
        <rFont val="Noto Sans CJK SC"/>
        <family val="2"/>
      </rPr>
      <t xml:space="preserve">강릉 해변 </t>
    </r>
    <r>
      <rPr>
        <sz val="11"/>
        <rFont val="Arial"/>
        <family val="0"/>
        <charset val="1"/>
      </rPr>
      <t xml:space="preserve">D</t>
    </r>
  </si>
  <si>
    <r>
      <rPr>
        <sz val="11"/>
        <rFont val="Noto Sans CJK SC"/>
        <family val="2"/>
      </rPr>
      <t xml:space="preserve">자연</t>
    </r>
    <r>
      <rPr>
        <sz val="11"/>
        <rFont val="Arial"/>
        <family val="0"/>
        <charset val="1"/>
      </rPr>
      <t xml:space="preserve">|</t>
    </r>
    <r>
      <rPr>
        <sz val="11"/>
        <rFont val="Noto Sans CJK SC"/>
        <family val="2"/>
      </rPr>
      <t xml:space="preserve">휴식</t>
    </r>
  </si>
  <si>
    <r>
      <rPr>
        <sz val="11"/>
        <rFont val="Noto Sans CJK SC"/>
        <family val="2"/>
      </rPr>
      <t xml:space="preserve">가족</t>
    </r>
    <r>
      <rPr>
        <sz val="11"/>
        <rFont val="Arial"/>
        <family val="0"/>
        <charset val="1"/>
      </rPr>
      <t xml:space="preserve">|</t>
    </r>
    <r>
      <rPr>
        <sz val="11"/>
        <rFont val="Noto Sans CJK SC"/>
        <family val="2"/>
      </rPr>
      <t xml:space="preserve">연인</t>
    </r>
    <r>
      <rPr>
        <sz val="11"/>
        <rFont val="Arial"/>
        <family val="0"/>
        <charset val="1"/>
      </rPr>
      <t xml:space="preserve">|</t>
    </r>
    <r>
      <rPr>
        <sz val="11"/>
        <rFont val="Noto Sans CJK SC"/>
        <family val="2"/>
      </rPr>
      <t xml:space="preserve">친구</t>
    </r>
  </si>
  <si>
    <t xml:space="preserve">S005</t>
  </si>
  <si>
    <r>
      <rPr>
        <sz val="11"/>
        <rFont val="Noto Sans CJK SC"/>
        <family val="2"/>
      </rPr>
      <t xml:space="preserve">강릉 체험마을 </t>
    </r>
    <r>
      <rPr>
        <sz val="11"/>
        <rFont val="Arial"/>
        <family val="0"/>
        <charset val="1"/>
      </rPr>
      <t xml:space="preserve">E</t>
    </r>
  </si>
  <si>
    <r>
      <rPr>
        <sz val="11"/>
        <rFont val="Noto Sans CJK SC"/>
        <family val="2"/>
      </rPr>
      <t xml:space="preserve">액티비티</t>
    </r>
    <r>
      <rPr>
        <sz val="11"/>
        <rFont val="Arial"/>
        <family val="0"/>
        <charset val="1"/>
      </rPr>
      <t xml:space="preserve">|</t>
    </r>
    <r>
      <rPr>
        <sz val="11"/>
        <rFont val="Noto Sans CJK SC"/>
        <family val="2"/>
      </rPr>
      <t xml:space="preserve">역사</t>
    </r>
  </si>
  <si>
    <r>
      <rPr>
        <sz val="11"/>
        <rFont val="Noto Sans CJK SC"/>
        <family val="2"/>
      </rPr>
      <t xml:space="preserve">가족</t>
    </r>
    <r>
      <rPr>
        <sz val="11"/>
        <rFont val="Arial"/>
        <family val="0"/>
        <charset val="1"/>
      </rPr>
      <t xml:space="preserve">|</t>
    </r>
    <r>
      <rPr>
        <sz val="11"/>
        <rFont val="Noto Sans CJK SC"/>
        <family val="2"/>
      </rPr>
      <t xml:space="preserve">단체</t>
    </r>
  </si>
  <si>
    <t xml:space="preserve">S006</t>
  </si>
  <si>
    <r>
      <rPr>
        <sz val="11"/>
        <rFont val="Noto Sans CJK SC"/>
        <family val="2"/>
      </rPr>
      <t xml:space="preserve">강릉 박물관 </t>
    </r>
    <r>
      <rPr>
        <sz val="11"/>
        <rFont val="Arial"/>
        <family val="0"/>
        <charset val="1"/>
      </rPr>
      <t xml:space="preserve">F</t>
    </r>
  </si>
  <si>
    <t xml:space="preserve">역사</t>
  </si>
  <si>
    <t xml:space="preserve">월</t>
  </si>
  <si>
    <t xml:space="preserve">S007</t>
  </si>
  <si>
    <r>
      <rPr>
        <sz val="11"/>
        <rFont val="Noto Sans CJK SC"/>
        <family val="2"/>
      </rPr>
      <t xml:space="preserve">속초 전통시장 </t>
    </r>
    <r>
      <rPr>
        <sz val="11"/>
        <rFont val="Arial"/>
        <family val="0"/>
        <charset val="1"/>
      </rPr>
      <t xml:space="preserve">A</t>
    </r>
  </si>
  <si>
    <t xml:space="preserve">S008</t>
  </si>
  <si>
    <r>
      <rPr>
        <sz val="11"/>
        <rFont val="Noto Sans CJK SC"/>
        <family val="2"/>
      </rPr>
      <t xml:space="preserve">속초 테마파크 </t>
    </r>
    <r>
      <rPr>
        <sz val="11"/>
        <rFont val="Arial"/>
        <family val="0"/>
        <charset val="1"/>
      </rPr>
      <t xml:space="preserve">B</t>
    </r>
  </si>
  <si>
    <t xml:space="preserve">액티비티</t>
  </si>
  <si>
    <r>
      <rPr>
        <sz val="11"/>
        <rFont val="Noto Sans CJK SC"/>
        <family val="2"/>
      </rPr>
      <t xml:space="preserve">가족</t>
    </r>
    <r>
      <rPr>
        <sz val="11"/>
        <rFont val="Arial"/>
        <family val="0"/>
        <charset val="1"/>
      </rPr>
      <t xml:space="preserve">|</t>
    </r>
    <r>
      <rPr>
        <sz val="11"/>
        <rFont val="Noto Sans CJK SC"/>
        <family val="2"/>
      </rPr>
      <t xml:space="preserve">친구</t>
    </r>
  </si>
  <si>
    <t xml:space="preserve">S009</t>
  </si>
  <si>
    <r>
      <rPr>
        <sz val="11"/>
        <rFont val="Noto Sans CJK SC"/>
        <family val="2"/>
      </rPr>
      <t xml:space="preserve">속초 해변 </t>
    </r>
    <r>
      <rPr>
        <sz val="11"/>
        <rFont val="Arial"/>
        <family val="0"/>
        <charset val="1"/>
      </rPr>
      <t xml:space="preserve">C</t>
    </r>
  </si>
  <si>
    <t xml:space="preserve">수</t>
  </si>
  <si>
    <t xml:space="preserve">S010</t>
  </si>
  <si>
    <r>
      <rPr>
        <sz val="11"/>
        <rFont val="Noto Sans CJK SC"/>
        <family val="2"/>
      </rPr>
      <t xml:space="preserve">속초 체험마을 </t>
    </r>
    <r>
      <rPr>
        <sz val="11"/>
        <rFont val="Arial"/>
        <family val="0"/>
        <charset val="1"/>
      </rPr>
      <t xml:space="preserve">D</t>
    </r>
  </si>
  <si>
    <t xml:space="preserve">S011</t>
  </si>
  <si>
    <r>
      <rPr>
        <sz val="11"/>
        <rFont val="Noto Sans CJK SC"/>
        <family val="2"/>
      </rPr>
      <t xml:space="preserve">속초 전망대 </t>
    </r>
    <r>
      <rPr>
        <sz val="11"/>
        <rFont val="Arial"/>
        <family val="0"/>
        <charset val="1"/>
      </rPr>
      <t xml:space="preserve">E</t>
    </r>
  </si>
  <si>
    <t xml:space="preserve">S012</t>
  </si>
  <si>
    <r>
      <rPr>
        <sz val="11"/>
        <rFont val="Noto Sans CJK SC"/>
        <family val="2"/>
      </rPr>
      <t xml:space="preserve">속초 카페거리 </t>
    </r>
    <r>
      <rPr>
        <sz val="11"/>
        <rFont val="Arial"/>
        <family val="0"/>
        <charset val="1"/>
      </rPr>
      <t xml:space="preserve">F</t>
    </r>
  </si>
  <si>
    <t xml:space="preserve">S013</t>
  </si>
  <si>
    <r>
      <rPr>
        <sz val="11"/>
        <rFont val="Noto Sans CJK SC"/>
        <family val="2"/>
      </rPr>
      <t xml:space="preserve">양양 둘레길 </t>
    </r>
    <r>
      <rPr>
        <sz val="11"/>
        <rFont val="Arial"/>
        <family val="0"/>
        <charset val="1"/>
      </rPr>
      <t xml:space="preserve">A</t>
    </r>
  </si>
  <si>
    <r>
      <rPr>
        <sz val="11"/>
        <rFont val="Noto Sans CJK SC"/>
        <family val="2"/>
      </rPr>
      <t xml:space="preserve">친구</t>
    </r>
    <r>
      <rPr>
        <sz val="11"/>
        <rFont val="Arial"/>
        <family val="0"/>
        <charset val="1"/>
      </rPr>
      <t xml:space="preserve">|</t>
    </r>
    <r>
      <rPr>
        <sz val="11"/>
        <rFont val="Noto Sans CJK SC"/>
        <family val="2"/>
      </rPr>
      <t xml:space="preserve">가족</t>
    </r>
    <r>
      <rPr>
        <sz val="11"/>
        <rFont val="Arial"/>
        <family val="0"/>
        <charset val="1"/>
      </rPr>
      <t xml:space="preserve">|</t>
    </r>
    <r>
      <rPr>
        <sz val="11"/>
        <rFont val="Noto Sans CJK SC"/>
        <family val="2"/>
      </rPr>
      <t xml:space="preserve">단체</t>
    </r>
  </si>
  <si>
    <t xml:space="preserve">S014</t>
  </si>
  <si>
    <r>
      <rPr>
        <sz val="11"/>
        <rFont val="Noto Sans CJK SC"/>
        <family val="2"/>
      </rPr>
      <t xml:space="preserve">양양 해변 </t>
    </r>
    <r>
      <rPr>
        <sz val="11"/>
        <rFont val="Arial"/>
        <family val="0"/>
        <charset val="1"/>
      </rPr>
      <t xml:space="preserve">B</t>
    </r>
  </si>
  <si>
    <t xml:space="preserve">S015</t>
  </si>
  <si>
    <r>
      <rPr>
        <sz val="11"/>
        <rFont val="Noto Sans CJK SC"/>
        <family val="2"/>
      </rPr>
      <t xml:space="preserve">양양 전통시장 </t>
    </r>
    <r>
      <rPr>
        <sz val="11"/>
        <rFont val="Arial"/>
        <family val="0"/>
        <charset val="1"/>
      </rPr>
      <t xml:space="preserve">C</t>
    </r>
  </si>
  <si>
    <t xml:space="preserve">S016</t>
  </si>
  <si>
    <r>
      <rPr>
        <sz val="11"/>
        <rFont val="Noto Sans CJK SC"/>
        <family val="2"/>
      </rPr>
      <t xml:space="preserve">양양 테마파크 </t>
    </r>
    <r>
      <rPr>
        <sz val="11"/>
        <rFont val="Arial"/>
        <family val="0"/>
        <charset val="1"/>
      </rPr>
      <t xml:space="preserve">D</t>
    </r>
  </si>
  <si>
    <t xml:space="preserve">S017</t>
  </si>
  <si>
    <r>
      <rPr>
        <sz val="11"/>
        <rFont val="Noto Sans CJK SC"/>
        <family val="2"/>
      </rPr>
      <t xml:space="preserve">양양 카페거리 </t>
    </r>
    <r>
      <rPr>
        <sz val="11"/>
        <rFont val="Arial"/>
        <family val="0"/>
        <charset val="1"/>
      </rPr>
      <t xml:space="preserve">E</t>
    </r>
  </si>
  <si>
    <t xml:space="preserve">S018</t>
  </si>
  <si>
    <r>
      <rPr>
        <sz val="11"/>
        <rFont val="Noto Sans CJK SC"/>
        <family val="2"/>
      </rPr>
      <t xml:space="preserve">양양 전망대 </t>
    </r>
    <r>
      <rPr>
        <sz val="11"/>
        <rFont val="Arial"/>
        <family val="0"/>
        <charset val="1"/>
      </rPr>
      <t xml:space="preserve">F</t>
    </r>
  </si>
  <si>
    <t xml:space="preserve">S019</t>
  </si>
  <si>
    <r>
      <rPr>
        <sz val="11"/>
        <rFont val="Noto Sans CJK SC"/>
        <family val="2"/>
      </rPr>
      <t xml:space="preserve">평창 전망대 </t>
    </r>
    <r>
      <rPr>
        <sz val="11"/>
        <rFont val="Arial"/>
        <family val="0"/>
        <charset val="1"/>
      </rPr>
      <t xml:space="preserve">A</t>
    </r>
  </si>
  <si>
    <t xml:space="preserve">S020</t>
  </si>
  <si>
    <r>
      <rPr>
        <sz val="11"/>
        <rFont val="Noto Sans CJK SC"/>
        <family val="2"/>
      </rPr>
      <t xml:space="preserve">평창 박물관 </t>
    </r>
    <r>
      <rPr>
        <sz val="11"/>
        <rFont val="Arial"/>
        <family val="0"/>
        <charset val="1"/>
      </rPr>
      <t xml:space="preserve">B</t>
    </r>
  </si>
  <si>
    <t xml:space="preserve">S021</t>
  </si>
  <si>
    <r>
      <rPr>
        <sz val="11"/>
        <rFont val="Noto Sans CJK SC"/>
        <family val="2"/>
      </rPr>
      <t xml:space="preserve">평창 해변 </t>
    </r>
    <r>
      <rPr>
        <sz val="11"/>
        <rFont val="Arial"/>
        <family val="0"/>
        <charset val="1"/>
      </rPr>
      <t xml:space="preserve">C</t>
    </r>
  </si>
  <si>
    <t xml:space="preserve">S022</t>
  </si>
  <si>
    <r>
      <rPr>
        <sz val="11"/>
        <rFont val="Noto Sans CJK SC"/>
        <family val="2"/>
      </rPr>
      <t xml:space="preserve">평창 체험마을 </t>
    </r>
    <r>
      <rPr>
        <sz val="11"/>
        <rFont val="Arial"/>
        <family val="0"/>
        <charset val="1"/>
      </rPr>
      <t xml:space="preserve">D</t>
    </r>
  </si>
  <si>
    <t xml:space="preserve">S023</t>
  </si>
  <si>
    <r>
      <rPr>
        <sz val="11"/>
        <rFont val="Noto Sans CJK SC"/>
        <family val="2"/>
      </rPr>
      <t xml:space="preserve">평창 카페거리 </t>
    </r>
    <r>
      <rPr>
        <sz val="11"/>
        <rFont val="Arial"/>
        <family val="0"/>
        <charset val="1"/>
      </rPr>
      <t xml:space="preserve">E</t>
    </r>
  </si>
  <si>
    <t xml:space="preserve">S024</t>
  </si>
  <si>
    <r>
      <rPr>
        <sz val="11"/>
        <rFont val="Noto Sans CJK SC"/>
        <family val="2"/>
      </rPr>
      <t xml:space="preserve">평창 둘레길 </t>
    </r>
    <r>
      <rPr>
        <sz val="11"/>
        <rFont val="Arial"/>
        <family val="0"/>
        <charset val="1"/>
      </rPr>
      <t xml:space="preserve">F</t>
    </r>
  </si>
  <si>
    <t xml:space="preserve">S025</t>
  </si>
  <si>
    <r>
      <rPr>
        <sz val="11"/>
        <rFont val="Noto Sans CJK SC"/>
        <family val="2"/>
      </rPr>
      <t xml:space="preserve">경주 테마파크 </t>
    </r>
    <r>
      <rPr>
        <sz val="11"/>
        <rFont val="Arial"/>
        <family val="0"/>
        <charset val="1"/>
      </rPr>
      <t xml:space="preserve">A</t>
    </r>
  </si>
  <si>
    <t xml:space="preserve">S026</t>
  </si>
  <si>
    <r>
      <rPr>
        <sz val="11"/>
        <rFont val="Noto Sans CJK SC"/>
        <family val="2"/>
      </rPr>
      <t xml:space="preserve">경주 박물관 </t>
    </r>
    <r>
      <rPr>
        <sz val="11"/>
        <rFont val="Arial"/>
        <family val="0"/>
        <charset val="1"/>
      </rPr>
      <t xml:space="preserve">B</t>
    </r>
  </si>
  <si>
    <t xml:space="preserve">S027</t>
  </si>
  <si>
    <r>
      <rPr>
        <sz val="11"/>
        <rFont val="Noto Sans CJK SC"/>
        <family val="2"/>
      </rPr>
      <t xml:space="preserve">경주 둘레길 </t>
    </r>
    <r>
      <rPr>
        <sz val="11"/>
        <rFont val="Arial"/>
        <family val="0"/>
        <charset val="1"/>
      </rPr>
      <t xml:space="preserve">C</t>
    </r>
  </si>
  <si>
    <t xml:space="preserve">S028</t>
  </si>
  <si>
    <r>
      <rPr>
        <sz val="11"/>
        <rFont val="Noto Sans CJK SC"/>
        <family val="2"/>
      </rPr>
      <t xml:space="preserve">경주 전통시장 </t>
    </r>
    <r>
      <rPr>
        <sz val="11"/>
        <rFont val="Arial"/>
        <family val="0"/>
        <charset val="1"/>
      </rPr>
      <t xml:space="preserve">D</t>
    </r>
  </si>
  <si>
    <t xml:space="preserve">S029</t>
  </si>
  <si>
    <r>
      <rPr>
        <sz val="11"/>
        <rFont val="Noto Sans CJK SC"/>
        <family val="2"/>
      </rPr>
      <t xml:space="preserve">경주 체험마을 </t>
    </r>
    <r>
      <rPr>
        <sz val="11"/>
        <rFont val="Arial"/>
        <family val="0"/>
        <charset val="1"/>
      </rPr>
      <t xml:space="preserve">E</t>
    </r>
  </si>
  <si>
    <t xml:space="preserve">S030</t>
  </si>
  <si>
    <r>
      <rPr>
        <sz val="11"/>
        <rFont val="Noto Sans CJK SC"/>
        <family val="2"/>
      </rPr>
      <t xml:space="preserve">경주 카페거리 </t>
    </r>
    <r>
      <rPr>
        <sz val="11"/>
        <rFont val="Arial"/>
        <family val="0"/>
        <charset val="1"/>
      </rPr>
      <t xml:space="preserve">F</t>
    </r>
  </si>
  <si>
    <t xml:space="preserve">S031</t>
  </si>
  <si>
    <r>
      <rPr>
        <sz val="11"/>
        <rFont val="Noto Sans CJK SC"/>
        <family val="2"/>
      </rPr>
      <t xml:space="preserve">부산 체험마을 </t>
    </r>
    <r>
      <rPr>
        <sz val="11"/>
        <rFont val="Arial"/>
        <family val="0"/>
        <charset val="1"/>
      </rPr>
      <t xml:space="preserve">A</t>
    </r>
  </si>
  <si>
    <t xml:space="preserve">S032</t>
  </si>
  <si>
    <r>
      <rPr>
        <sz val="11"/>
        <rFont val="Noto Sans CJK SC"/>
        <family val="2"/>
      </rPr>
      <t xml:space="preserve">부산 테마파크 </t>
    </r>
    <r>
      <rPr>
        <sz val="11"/>
        <rFont val="Arial"/>
        <family val="0"/>
        <charset val="1"/>
      </rPr>
      <t xml:space="preserve">B</t>
    </r>
  </si>
  <si>
    <t xml:space="preserve">S033</t>
  </si>
  <si>
    <r>
      <rPr>
        <sz val="11"/>
        <rFont val="Noto Sans CJK SC"/>
        <family val="2"/>
      </rPr>
      <t xml:space="preserve">부산 해변 </t>
    </r>
    <r>
      <rPr>
        <sz val="11"/>
        <rFont val="Arial"/>
        <family val="0"/>
        <charset val="1"/>
      </rPr>
      <t xml:space="preserve">C</t>
    </r>
  </si>
  <si>
    <t xml:space="preserve">S034</t>
  </si>
  <si>
    <r>
      <rPr>
        <sz val="11"/>
        <rFont val="Noto Sans CJK SC"/>
        <family val="2"/>
      </rPr>
      <t xml:space="preserve">부산 카페거리 </t>
    </r>
    <r>
      <rPr>
        <sz val="11"/>
        <rFont val="Arial"/>
        <family val="0"/>
        <charset val="1"/>
      </rPr>
      <t xml:space="preserve">D</t>
    </r>
  </si>
  <si>
    <t xml:space="preserve">S035</t>
  </si>
  <si>
    <r>
      <rPr>
        <sz val="11"/>
        <rFont val="Noto Sans CJK SC"/>
        <family val="2"/>
      </rPr>
      <t xml:space="preserve">부산 전망대 </t>
    </r>
    <r>
      <rPr>
        <sz val="11"/>
        <rFont val="Arial"/>
        <family val="0"/>
        <charset val="1"/>
      </rPr>
      <t xml:space="preserve">E</t>
    </r>
  </si>
  <si>
    <t xml:space="preserve">S036</t>
  </si>
  <si>
    <r>
      <rPr>
        <sz val="11"/>
        <rFont val="Noto Sans CJK SC"/>
        <family val="2"/>
      </rPr>
      <t xml:space="preserve">부산 둘레길 </t>
    </r>
    <r>
      <rPr>
        <sz val="11"/>
        <rFont val="Arial"/>
        <family val="0"/>
        <charset val="1"/>
      </rPr>
      <t xml:space="preserve">F</t>
    </r>
  </si>
  <si>
    <t xml:space="preserve">S037</t>
  </si>
  <si>
    <r>
      <rPr>
        <sz val="11"/>
        <rFont val="Noto Sans CJK SC"/>
        <family val="2"/>
      </rPr>
      <t xml:space="preserve">여수 카페거리 </t>
    </r>
    <r>
      <rPr>
        <sz val="11"/>
        <rFont val="Arial"/>
        <family val="0"/>
        <charset val="1"/>
      </rPr>
      <t xml:space="preserve">A</t>
    </r>
  </si>
  <si>
    <t xml:space="preserve">S038</t>
  </si>
  <si>
    <r>
      <rPr>
        <sz val="11"/>
        <rFont val="Noto Sans CJK SC"/>
        <family val="2"/>
      </rPr>
      <t xml:space="preserve">여수 박물관 </t>
    </r>
    <r>
      <rPr>
        <sz val="11"/>
        <rFont val="Arial"/>
        <family val="0"/>
        <charset val="1"/>
      </rPr>
      <t xml:space="preserve">B</t>
    </r>
  </si>
  <si>
    <t xml:space="preserve">S039</t>
  </si>
  <si>
    <r>
      <rPr>
        <sz val="11"/>
        <rFont val="Noto Sans CJK SC"/>
        <family val="2"/>
      </rPr>
      <t xml:space="preserve">여수 테마파크 </t>
    </r>
    <r>
      <rPr>
        <sz val="11"/>
        <rFont val="Arial"/>
        <family val="0"/>
        <charset val="1"/>
      </rPr>
      <t xml:space="preserve">C</t>
    </r>
  </si>
  <si>
    <t xml:space="preserve">S040</t>
  </si>
  <si>
    <r>
      <rPr>
        <sz val="11"/>
        <rFont val="Noto Sans CJK SC"/>
        <family val="2"/>
      </rPr>
      <t xml:space="preserve">여수 둘레길 </t>
    </r>
    <r>
      <rPr>
        <sz val="11"/>
        <rFont val="Arial"/>
        <family val="0"/>
        <charset val="1"/>
      </rPr>
      <t xml:space="preserve">D</t>
    </r>
  </si>
  <si>
    <t xml:space="preserve">S041</t>
  </si>
  <si>
    <r>
      <rPr>
        <sz val="11"/>
        <rFont val="Noto Sans CJK SC"/>
        <family val="2"/>
      </rPr>
      <t xml:space="preserve">여수 전망대 </t>
    </r>
    <r>
      <rPr>
        <sz val="11"/>
        <rFont val="Arial"/>
        <family val="0"/>
        <charset val="1"/>
      </rPr>
      <t xml:space="preserve">E</t>
    </r>
  </si>
  <si>
    <t xml:space="preserve">S042</t>
  </si>
  <si>
    <r>
      <rPr>
        <sz val="11"/>
        <rFont val="Noto Sans CJK SC"/>
        <family val="2"/>
      </rPr>
      <t xml:space="preserve">여수 체험마을 </t>
    </r>
    <r>
      <rPr>
        <sz val="11"/>
        <rFont val="Arial"/>
        <family val="0"/>
        <charset val="1"/>
      </rPr>
      <t xml:space="preserve">F</t>
    </r>
  </si>
  <si>
    <t xml:space="preserve">S043</t>
  </si>
  <si>
    <r>
      <rPr>
        <sz val="11"/>
        <rFont val="Noto Sans CJK SC"/>
        <family val="2"/>
      </rPr>
      <t xml:space="preserve">전주 체험마을 </t>
    </r>
    <r>
      <rPr>
        <sz val="11"/>
        <rFont val="Arial"/>
        <family val="0"/>
        <charset val="1"/>
      </rPr>
      <t xml:space="preserve">A</t>
    </r>
  </si>
  <si>
    <t xml:space="preserve">S044</t>
  </si>
  <si>
    <r>
      <rPr>
        <sz val="11"/>
        <rFont val="Noto Sans CJK SC"/>
        <family val="2"/>
      </rPr>
      <t xml:space="preserve">전주 카페거리 </t>
    </r>
    <r>
      <rPr>
        <sz val="11"/>
        <rFont val="Arial"/>
        <family val="0"/>
        <charset val="1"/>
      </rPr>
      <t xml:space="preserve">B</t>
    </r>
  </si>
  <si>
    <t xml:space="preserve">S045</t>
  </si>
  <si>
    <r>
      <rPr>
        <sz val="11"/>
        <rFont val="Noto Sans CJK SC"/>
        <family val="2"/>
      </rPr>
      <t xml:space="preserve">전주 테마파크 </t>
    </r>
    <r>
      <rPr>
        <sz val="11"/>
        <rFont val="Arial"/>
        <family val="0"/>
        <charset val="1"/>
      </rPr>
      <t xml:space="preserve">C</t>
    </r>
  </si>
  <si>
    <t xml:space="preserve">S046</t>
  </si>
  <si>
    <r>
      <rPr>
        <sz val="11"/>
        <rFont val="Noto Sans CJK SC"/>
        <family val="2"/>
      </rPr>
      <t xml:space="preserve">전주 전망대 </t>
    </r>
    <r>
      <rPr>
        <sz val="11"/>
        <rFont val="Arial"/>
        <family val="0"/>
        <charset val="1"/>
      </rPr>
      <t xml:space="preserve">D</t>
    </r>
  </si>
  <si>
    <t xml:space="preserve">S047</t>
  </si>
  <si>
    <r>
      <rPr>
        <sz val="11"/>
        <rFont val="Noto Sans CJK SC"/>
        <family val="2"/>
      </rPr>
      <t xml:space="preserve">전주 박물관 </t>
    </r>
    <r>
      <rPr>
        <sz val="11"/>
        <rFont val="Arial"/>
        <family val="0"/>
        <charset val="1"/>
      </rPr>
      <t xml:space="preserve">E</t>
    </r>
  </si>
  <si>
    <t xml:space="preserve">S048</t>
  </si>
  <si>
    <r>
      <rPr>
        <sz val="11"/>
        <rFont val="Noto Sans CJK SC"/>
        <family val="2"/>
      </rPr>
      <t xml:space="preserve">전주 둘레길 </t>
    </r>
    <r>
      <rPr>
        <sz val="11"/>
        <rFont val="Arial"/>
        <family val="0"/>
        <charset val="1"/>
      </rPr>
      <t xml:space="preserve">F</t>
    </r>
  </si>
  <si>
    <r>
      <rPr>
        <b val="true"/>
        <sz val="11"/>
        <color rgb="FFFFFFFF"/>
        <rFont val="Noto Sans CJK SC"/>
        <family val="2"/>
      </rPr>
      <t xml:space="preserve">숙소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</si>
  <si>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숙소명</t>
  </si>
  <si>
    <t xml:space="preserve">유형</t>
  </si>
  <si>
    <r>
      <rPr>
        <b val="true"/>
        <sz val="11"/>
        <color rgb="FFFFFFFF"/>
        <rFont val="Noto Sans CJK SC"/>
        <family val="2"/>
      </rPr>
      <t xml:space="preserve">객실 기준인원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명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</si>
  <si>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박 요금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</si>
  <si>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성수기 할증률</t>
  </si>
  <si>
    <t xml:space="preserve">H001</t>
  </si>
  <si>
    <r>
      <rPr>
        <sz val="11"/>
        <rFont val="Noto Sans CJK SC"/>
        <family val="2"/>
      </rPr>
      <t xml:space="preserve">강릉 호텔 </t>
    </r>
    <r>
      <rPr>
        <sz val="11"/>
        <rFont val="Arial"/>
        <family val="0"/>
        <charset val="1"/>
      </rPr>
      <t xml:space="preserve">A</t>
    </r>
  </si>
  <si>
    <t xml:space="preserve">호텔</t>
  </si>
  <si>
    <t xml:space="preserve">H002</t>
  </si>
  <si>
    <r>
      <rPr>
        <sz val="11"/>
        <rFont val="Noto Sans CJK SC"/>
        <family val="2"/>
      </rPr>
      <t xml:space="preserve">강릉 게스트하우스 </t>
    </r>
    <r>
      <rPr>
        <sz val="11"/>
        <rFont val="Arial"/>
        <family val="0"/>
        <charset val="1"/>
      </rPr>
      <t xml:space="preserve">B</t>
    </r>
  </si>
  <si>
    <t xml:space="preserve">게스트하우스</t>
  </si>
  <si>
    <t xml:space="preserve">H003</t>
  </si>
  <si>
    <r>
      <rPr>
        <sz val="11"/>
        <rFont val="Noto Sans CJK SC"/>
        <family val="2"/>
      </rPr>
      <t xml:space="preserve">강릉 리조트 </t>
    </r>
    <r>
      <rPr>
        <sz val="11"/>
        <rFont val="Arial"/>
        <family val="0"/>
        <charset val="1"/>
      </rPr>
      <t xml:space="preserve">C</t>
    </r>
  </si>
  <si>
    <t xml:space="preserve">리조트</t>
  </si>
  <si>
    <r>
      <rPr>
        <sz val="11"/>
        <rFont val="Noto Sans CJK SC"/>
        <family val="2"/>
      </rPr>
      <t xml:space="preserve">가족</t>
    </r>
    <r>
      <rPr>
        <sz val="11"/>
        <rFont val="Arial"/>
        <family val="0"/>
        <charset val="1"/>
      </rPr>
      <t xml:space="preserve">|</t>
    </r>
    <r>
      <rPr>
        <sz val="11"/>
        <rFont val="Noto Sans CJK SC"/>
        <family val="2"/>
      </rPr>
      <t xml:space="preserve">친구</t>
    </r>
    <r>
      <rPr>
        <sz val="11"/>
        <rFont val="Arial"/>
        <family val="0"/>
        <charset val="1"/>
      </rPr>
      <t xml:space="preserve">|</t>
    </r>
    <r>
      <rPr>
        <sz val="11"/>
        <rFont val="Noto Sans CJK SC"/>
        <family val="2"/>
      </rPr>
      <t xml:space="preserve">연인</t>
    </r>
    <r>
      <rPr>
        <sz val="11"/>
        <rFont val="Arial"/>
        <family val="0"/>
        <charset val="1"/>
      </rPr>
      <t xml:space="preserve">|</t>
    </r>
    <r>
      <rPr>
        <sz val="11"/>
        <rFont val="Noto Sans CJK SC"/>
        <family val="2"/>
      </rPr>
      <t xml:space="preserve">단체</t>
    </r>
  </si>
  <si>
    <t xml:space="preserve">H004</t>
  </si>
  <si>
    <r>
      <rPr>
        <sz val="11"/>
        <rFont val="Noto Sans CJK SC"/>
        <family val="2"/>
      </rPr>
      <t xml:space="preserve">속초 게스트하우스 </t>
    </r>
    <r>
      <rPr>
        <sz val="11"/>
        <rFont val="Arial"/>
        <family val="0"/>
        <charset val="1"/>
      </rPr>
      <t xml:space="preserve">A</t>
    </r>
  </si>
  <si>
    <t xml:space="preserve">H005</t>
  </si>
  <si>
    <r>
      <rPr>
        <sz val="11"/>
        <rFont val="Noto Sans CJK SC"/>
        <family val="2"/>
      </rPr>
      <t xml:space="preserve">속초 리조트 </t>
    </r>
    <r>
      <rPr>
        <sz val="11"/>
        <rFont val="Arial"/>
        <family val="0"/>
        <charset val="1"/>
      </rPr>
      <t xml:space="preserve">B</t>
    </r>
  </si>
  <si>
    <t xml:space="preserve">H006</t>
  </si>
  <si>
    <r>
      <rPr>
        <sz val="11"/>
        <rFont val="Noto Sans CJK SC"/>
        <family val="2"/>
      </rPr>
      <t xml:space="preserve">속초 호텔 </t>
    </r>
    <r>
      <rPr>
        <sz val="11"/>
        <rFont val="Arial"/>
        <family val="0"/>
        <charset val="1"/>
      </rPr>
      <t xml:space="preserve">C</t>
    </r>
  </si>
  <si>
    <t xml:space="preserve">H007</t>
  </si>
  <si>
    <r>
      <rPr>
        <sz val="11"/>
        <rFont val="Noto Sans CJK SC"/>
        <family val="2"/>
      </rPr>
      <t xml:space="preserve">양양 펜션 </t>
    </r>
    <r>
      <rPr>
        <sz val="11"/>
        <rFont val="Arial"/>
        <family val="0"/>
        <charset val="1"/>
      </rPr>
      <t xml:space="preserve">A</t>
    </r>
  </si>
  <si>
    <t xml:space="preserve">펜션</t>
  </si>
  <si>
    <t xml:space="preserve">H008</t>
  </si>
  <si>
    <r>
      <rPr>
        <sz val="11"/>
        <rFont val="Noto Sans CJK SC"/>
        <family val="2"/>
      </rPr>
      <t xml:space="preserve">양양 호텔 </t>
    </r>
    <r>
      <rPr>
        <sz val="11"/>
        <rFont val="Arial"/>
        <family val="0"/>
        <charset val="1"/>
      </rPr>
      <t xml:space="preserve">B</t>
    </r>
  </si>
  <si>
    <t xml:space="preserve">H009</t>
  </si>
  <si>
    <r>
      <rPr>
        <sz val="11"/>
        <rFont val="Noto Sans CJK SC"/>
        <family val="2"/>
      </rPr>
      <t xml:space="preserve">양양 리조트 </t>
    </r>
    <r>
      <rPr>
        <sz val="11"/>
        <rFont val="Arial"/>
        <family val="0"/>
        <charset val="1"/>
      </rPr>
      <t xml:space="preserve">C</t>
    </r>
  </si>
  <si>
    <t xml:space="preserve">H010</t>
  </si>
  <si>
    <r>
      <rPr>
        <sz val="11"/>
        <rFont val="Noto Sans CJK SC"/>
        <family val="2"/>
      </rPr>
      <t xml:space="preserve">평창 펜션 </t>
    </r>
    <r>
      <rPr>
        <sz val="11"/>
        <rFont val="Arial"/>
        <family val="0"/>
        <charset val="1"/>
      </rPr>
      <t xml:space="preserve">A</t>
    </r>
  </si>
  <si>
    <t xml:space="preserve">H011</t>
  </si>
  <si>
    <r>
      <rPr>
        <sz val="11"/>
        <rFont val="Noto Sans CJK SC"/>
        <family val="2"/>
      </rPr>
      <t xml:space="preserve">평창 게스트하우스 </t>
    </r>
    <r>
      <rPr>
        <sz val="11"/>
        <rFont val="Arial"/>
        <family val="0"/>
        <charset val="1"/>
      </rPr>
      <t xml:space="preserve">B</t>
    </r>
  </si>
  <si>
    <t xml:space="preserve">H012</t>
  </si>
  <si>
    <r>
      <rPr>
        <sz val="11"/>
        <rFont val="Noto Sans CJK SC"/>
        <family val="2"/>
      </rPr>
      <t xml:space="preserve">평창 리조트 </t>
    </r>
    <r>
      <rPr>
        <sz val="11"/>
        <rFont val="Arial"/>
        <family val="0"/>
        <charset val="1"/>
      </rPr>
      <t xml:space="preserve">C</t>
    </r>
  </si>
  <si>
    <t xml:space="preserve">H013</t>
  </si>
  <si>
    <r>
      <rPr>
        <sz val="11"/>
        <rFont val="Noto Sans CJK SC"/>
        <family val="2"/>
      </rPr>
      <t xml:space="preserve">경주 리조트 </t>
    </r>
    <r>
      <rPr>
        <sz val="11"/>
        <rFont val="Arial"/>
        <family val="0"/>
        <charset val="1"/>
      </rPr>
      <t xml:space="preserve">A</t>
    </r>
  </si>
  <si>
    <t xml:space="preserve">H014</t>
  </si>
  <si>
    <r>
      <rPr>
        <sz val="11"/>
        <rFont val="Noto Sans CJK SC"/>
        <family val="2"/>
      </rPr>
      <t xml:space="preserve">경주 호텔 </t>
    </r>
    <r>
      <rPr>
        <sz val="11"/>
        <rFont val="Arial"/>
        <family val="0"/>
        <charset val="1"/>
      </rPr>
      <t xml:space="preserve">B</t>
    </r>
  </si>
  <si>
    <t xml:space="preserve">H015</t>
  </si>
  <si>
    <r>
      <rPr>
        <sz val="11"/>
        <rFont val="Noto Sans CJK SC"/>
        <family val="2"/>
      </rPr>
      <t xml:space="preserve">경주 펜션 </t>
    </r>
    <r>
      <rPr>
        <sz val="11"/>
        <rFont val="Arial"/>
        <family val="0"/>
        <charset val="1"/>
      </rPr>
      <t xml:space="preserve">C</t>
    </r>
  </si>
  <si>
    <t xml:space="preserve">H016</t>
  </si>
  <si>
    <r>
      <rPr>
        <sz val="11"/>
        <rFont val="Noto Sans CJK SC"/>
        <family val="2"/>
      </rPr>
      <t xml:space="preserve">부산 게스트하우스 </t>
    </r>
    <r>
      <rPr>
        <sz val="11"/>
        <rFont val="Arial"/>
        <family val="0"/>
        <charset val="1"/>
      </rPr>
      <t xml:space="preserve">A</t>
    </r>
  </si>
  <si>
    <t xml:space="preserve">H017</t>
  </si>
  <si>
    <r>
      <rPr>
        <sz val="11"/>
        <rFont val="Noto Sans CJK SC"/>
        <family val="2"/>
      </rPr>
      <t xml:space="preserve">부산 펜션 </t>
    </r>
    <r>
      <rPr>
        <sz val="11"/>
        <rFont val="Arial"/>
        <family val="0"/>
        <charset val="1"/>
      </rPr>
      <t xml:space="preserve">B</t>
    </r>
  </si>
  <si>
    <t xml:space="preserve">H018</t>
  </si>
  <si>
    <r>
      <rPr>
        <sz val="11"/>
        <rFont val="Noto Sans CJK SC"/>
        <family val="2"/>
      </rPr>
      <t xml:space="preserve">부산 호텔 </t>
    </r>
    <r>
      <rPr>
        <sz val="11"/>
        <rFont val="Arial"/>
        <family val="0"/>
        <charset val="1"/>
      </rPr>
      <t xml:space="preserve">C</t>
    </r>
  </si>
  <si>
    <t xml:space="preserve">H019</t>
  </si>
  <si>
    <r>
      <rPr>
        <sz val="11"/>
        <rFont val="Noto Sans CJK SC"/>
        <family val="2"/>
      </rPr>
      <t xml:space="preserve">여수 리조트 </t>
    </r>
    <r>
      <rPr>
        <sz val="11"/>
        <rFont val="Arial"/>
        <family val="0"/>
        <charset val="1"/>
      </rPr>
      <t xml:space="preserve">A</t>
    </r>
  </si>
  <si>
    <t xml:space="preserve">H020</t>
  </si>
  <si>
    <r>
      <rPr>
        <sz val="11"/>
        <rFont val="Noto Sans CJK SC"/>
        <family val="2"/>
      </rPr>
      <t xml:space="preserve">여수 게스트하우스 </t>
    </r>
    <r>
      <rPr>
        <sz val="11"/>
        <rFont val="Arial"/>
        <family val="0"/>
        <charset val="1"/>
      </rPr>
      <t xml:space="preserve">B</t>
    </r>
  </si>
  <si>
    <t xml:space="preserve">H021</t>
  </si>
  <si>
    <r>
      <rPr>
        <sz val="11"/>
        <rFont val="Noto Sans CJK SC"/>
        <family val="2"/>
      </rPr>
      <t xml:space="preserve">여수 펜션 </t>
    </r>
    <r>
      <rPr>
        <sz val="11"/>
        <rFont val="Arial"/>
        <family val="0"/>
        <charset val="1"/>
      </rPr>
      <t xml:space="preserve">C</t>
    </r>
  </si>
  <si>
    <t xml:space="preserve">H022</t>
  </si>
  <si>
    <r>
      <rPr>
        <sz val="11"/>
        <rFont val="Noto Sans CJK SC"/>
        <family val="2"/>
      </rPr>
      <t xml:space="preserve">전주 호텔 </t>
    </r>
    <r>
      <rPr>
        <sz val="11"/>
        <rFont val="Arial"/>
        <family val="0"/>
        <charset val="1"/>
      </rPr>
      <t xml:space="preserve">A</t>
    </r>
  </si>
  <si>
    <t xml:space="preserve">H023</t>
  </si>
  <si>
    <r>
      <rPr>
        <sz val="11"/>
        <rFont val="Noto Sans CJK SC"/>
        <family val="2"/>
      </rPr>
      <t xml:space="preserve">전주 리조트 </t>
    </r>
    <r>
      <rPr>
        <sz val="11"/>
        <rFont val="Arial"/>
        <family val="0"/>
        <charset val="1"/>
      </rPr>
      <t xml:space="preserve">B</t>
    </r>
  </si>
  <si>
    <t xml:space="preserve">H024</t>
  </si>
  <si>
    <r>
      <rPr>
        <sz val="11"/>
        <rFont val="Noto Sans CJK SC"/>
        <family val="2"/>
      </rPr>
      <t xml:space="preserve">전주 펜션 </t>
    </r>
    <r>
      <rPr>
        <sz val="11"/>
        <rFont val="Arial"/>
        <family val="0"/>
        <charset val="1"/>
      </rPr>
      <t xml:space="preserve">C</t>
    </r>
  </si>
  <si>
    <r>
      <rPr>
        <b val="true"/>
        <sz val="11"/>
        <color rgb="FFFFFFFF"/>
        <rFont val="Noto Sans CJK SC"/>
        <family val="2"/>
      </rPr>
      <t xml:space="preserve">식당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</si>
  <si>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식당명</t>
  </si>
  <si>
    <t xml:space="preserve">메뉴유형</t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</si>
  <si>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인 평균단가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</si>
  <si>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R001</t>
  </si>
  <si>
    <r>
      <rPr>
        <sz val="11"/>
        <rFont val="Noto Sans CJK SC"/>
        <family val="2"/>
      </rPr>
      <t xml:space="preserve">강릉 해산물 </t>
    </r>
    <r>
      <rPr>
        <sz val="11"/>
        <rFont val="Arial"/>
        <family val="0"/>
        <charset val="1"/>
      </rPr>
      <t xml:space="preserve">A</t>
    </r>
  </si>
  <si>
    <t xml:space="preserve">해산물</t>
  </si>
  <si>
    <t xml:space="preserve">맛집</t>
  </si>
  <si>
    <t xml:space="preserve">R002</t>
  </si>
  <si>
    <r>
      <rPr>
        <sz val="11"/>
        <rFont val="Noto Sans CJK SC"/>
        <family val="2"/>
      </rPr>
      <t xml:space="preserve">강릉 카페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디저트 </t>
    </r>
    <r>
      <rPr>
        <sz val="11"/>
        <rFont val="Arial"/>
        <family val="0"/>
        <charset val="1"/>
      </rPr>
      <t xml:space="preserve">B</t>
    </r>
  </si>
  <si>
    <r>
      <rPr>
        <sz val="11"/>
        <rFont val="Noto Sans CJK SC"/>
        <family val="2"/>
      </rPr>
      <t xml:space="preserve">카페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디저트</t>
    </r>
  </si>
  <si>
    <t xml:space="preserve">휴식</t>
  </si>
  <si>
    <t xml:space="preserve">R003</t>
  </si>
  <si>
    <r>
      <rPr>
        <sz val="11"/>
        <rFont val="Noto Sans CJK SC"/>
        <family val="2"/>
      </rPr>
      <t xml:space="preserve">강릉 고기구이 </t>
    </r>
    <r>
      <rPr>
        <sz val="11"/>
        <rFont val="Arial"/>
        <family val="0"/>
        <charset val="1"/>
      </rPr>
      <t xml:space="preserve">C</t>
    </r>
  </si>
  <si>
    <t xml:space="preserve">고기구이</t>
  </si>
  <si>
    <t xml:space="preserve">R004</t>
  </si>
  <si>
    <r>
      <rPr>
        <sz val="11"/>
        <rFont val="Noto Sans CJK SC"/>
        <family val="2"/>
      </rPr>
      <t xml:space="preserve">강릉 분식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간편식 </t>
    </r>
    <r>
      <rPr>
        <sz val="11"/>
        <rFont val="Arial"/>
        <family val="0"/>
        <charset val="1"/>
      </rPr>
      <t xml:space="preserve">D</t>
    </r>
  </si>
  <si>
    <r>
      <rPr>
        <sz val="11"/>
        <rFont val="Noto Sans CJK SC"/>
        <family val="2"/>
      </rPr>
      <t xml:space="preserve">분식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간편식</t>
    </r>
  </si>
  <si>
    <r>
      <rPr>
        <sz val="11"/>
        <rFont val="Noto Sans CJK SC"/>
        <family val="2"/>
      </rPr>
      <t xml:space="preserve">친구</t>
    </r>
    <r>
      <rPr>
        <sz val="11"/>
        <rFont val="Arial"/>
        <family val="0"/>
        <charset val="1"/>
      </rPr>
      <t xml:space="preserve">|</t>
    </r>
    <r>
      <rPr>
        <sz val="11"/>
        <rFont val="Noto Sans CJK SC"/>
        <family val="2"/>
      </rPr>
      <t xml:space="preserve">가족</t>
    </r>
  </si>
  <si>
    <t xml:space="preserve">R005</t>
  </si>
  <si>
    <r>
      <rPr>
        <sz val="11"/>
        <rFont val="Noto Sans CJK SC"/>
        <family val="2"/>
      </rPr>
      <t xml:space="preserve">속초 한정식 </t>
    </r>
    <r>
      <rPr>
        <sz val="11"/>
        <rFont val="Arial"/>
        <family val="0"/>
        <charset val="1"/>
      </rPr>
      <t xml:space="preserve">A</t>
    </r>
  </si>
  <si>
    <t xml:space="preserve">한정식</t>
  </si>
  <si>
    <r>
      <rPr>
        <sz val="11"/>
        <rFont val="Noto Sans CJK SC"/>
        <family val="2"/>
      </rPr>
      <t xml:space="preserve">맛집</t>
    </r>
    <r>
      <rPr>
        <sz val="11"/>
        <rFont val="Arial"/>
        <family val="0"/>
        <charset val="1"/>
      </rPr>
      <t xml:space="preserve">|</t>
    </r>
    <r>
      <rPr>
        <sz val="11"/>
        <rFont val="Noto Sans CJK SC"/>
        <family val="2"/>
      </rPr>
      <t xml:space="preserve">역사</t>
    </r>
  </si>
  <si>
    <t xml:space="preserve">R006</t>
  </si>
  <si>
    <r>
      <rPr>
        <sz val="11"/>
        <rFont val="Noto Sans CJK SC"/>
        <family val="2"/>
      </rPr>
      <t xml:space="preserve">속초 해산물 </t>
    </r>
    <r>
      <rPr>
        <sz val="11"/>
        <rFont val="Arial"/>
        <family val="0"/>
        <charset val="1"/>
      </rPr>
      <t xml:space="preserve">B</t>
    </r>
  </si>
  <si>
    <t xml:space="preserve">R007</t>
  </si>
  <si>
    <r>
      <rPr>
        <sz val="11"/>
        <rFont val="Noto Sans CJK SC"/>
        <family val="2"/>
      </rPr>
      <t xml:space="preserve">속초 향토음식 </t>
    </r>
    <r>
      <rPr>
        <sz val="11"/>
        <rFont val="Arial"/>
        <family val="0"/>
        <charset val="1"/>
      </rPr>
      <t xml:space="preserve">C</t>
    </r>
  </si>
  <si>
    <t xml:space="preserve">향토음식</t>
  </si>
  <si>
    <t xml:space="preserve">R008</t>
  </si>
  <si>
    <r>
      <rPr>
        <sz val="11"/>
        <rFont val="Noto Sans CJK SC"/>
        <family val="2"/>
      </rPr>
      <t xml:space="preserve">속초 카페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디저트 </t>
    </r>
    <r>
      <rPr>
        <sz val="11"/>
        <rFont val="Arial"/>
        <family val="0"/>
        <charset val="1"/>
      </rPr>
      <t xml:space="preserve">D</t>
    </r>
  </si>
  <si>
    <t xml:space="preserve">R009</t>
  </si>
  <si>
    <r>
      <rPr>
        <sz val="11"/>
        <rFont val="Noto Sans CJK SC"/>
        <family val="2"/>
      </rPr>
      <t xml:space="preserve">양양 고기구이 </t>
    </r>
    <r>
      <rPr>
        <sz val="11"/>
        <rFont val="Arial"/>
        <family val="0"/>
        <charset val="1"/>
      </rPr>
      <t xml:space="preserve">A</t>
    </r>
  </si>
  <si>
    <t xml:space="preserve">R010</t>
  </si>
  <si>
    <r>
      <rPr>
        <sz val="11"/>
        <rFont val="Noto Sans CJK SC"/>
        <family val="2"/>
      </rPr>
      <t xml:space="preserve">양양 해산물 </t>
    </r>
    <r>
      <rPr>
        <sz val="11"/>
        <rFont val="Arial"/>
        <family val="0"/>
        <charset val="1"/>
      </rPr>
      <t xml:space="preserve">B</t>
    </r>
  </si>
  <si>
    <t xml:space="preserve">R011</t>
  </si>
  <si>
    <r>
      <rPr>
        <sz val="11"/>
        <rFont val="Noto Sans CJK SC"/>
        <family val="2"/>
      </rPr>
      <t xml:space="preserve">양양 향토음식 </t>
    </r>
    <r>
      <rPr>
        <sz val="11"/>
        <rFont val="Arial"/>
        <family val="0"/>
        <charset val="1"/>
      </rPr>
      <t xml:space="preserve">C</t>
    </r>
  </si>
  <si>
    <t xml:space="preserve">R012</t>
  </si>
  <si>
    <r>
      <rPr>
        <sz val="11"/>
        <rFont val="Noto Sans CJK SC"/>
        <family val="2"/>
      </rPr>
      <t xml:space="preserve">양양 카페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디저트 </t>
    </r>
    <r>
      <rPr>
        <sz val="11"/>
        <rFont val="Arial"/>
        <family val="0"/>
        <charset val="1"/>
      </rPr>
      <t xml:space="preserve">D</t>
    </r>
  </si>
  <si>
    <t xml:space="preserve">R013</t>
  </si>
  <si>
    <r>
      <rPr>
        <sz val="11"/>
        <rFont val="Noto Sans CJK SC"/>
        <family val="2"/>
      </rPr>
      <t xml:space="preserve">평창 한정식 </t>
    </r>
    <r>
      <rPr>
        <sz val="11"/>
        <rFont val="Arial"/>
        <family val="0"/>
        <charset val="1"/>
      </rPr>
      <t xml:space="preserve">A</t>
    </r>
  </si>
  <si>
    <t xml:space="preserve">R014</t>
  </si>
  <si>
    <r>
      <rPr>
        <sz val="11"/>
        <rFont val="Noto Sans CJK SC"/>
        <family val="2"/>
      </rPr>
      <t xml:space="preserve">평창 향토음식 </t>
    </r>
    <r>
      <rPr>
        <sz val="11"/>
        <rFont val="Arial"/>
        <family val="0"/>
        <charset val="1"/>
      </rPr>
      <t xml:space="preserve">B</t>
    </r>
  </si>
  <si>
    <t xml:space="preserve">R015</t>
  </si>
  <si>
    <r>
      <rPr>
        <sz val="11"/>
        <rFont val="Noto Sans CJK SC"/>
        <family val="2"/>
      </rPr>
      <t xml:space="preserve">평창 고기구이 </t>
    </r>
    <r>
      <rPr>
        <sz val="11"/>
        <rFont val="Arial"/>
        <family val="0"/>
        <charset val="1"/>
      </rPr>
      <t xml:space="preserve">C</t>
    </r>
  </si>
  <si>
    <t xml:space="preserve">R016</t>
  </si>
  <si>
    <r>
      <rPr>
        <sz val="11"/>
        <rFont val="Noto Sans CJK SC"/>
        <family val="2"/>
      </rPr>
      <t xml:space="preserve">평창 카페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디저트 </t>
    </r>
    <r>
      <rPr>
        <sz val="11"/>
        <rFont val="Arial"/>
        <family val="0"/>
        <charset val="1"/>
      </rPr>
      <t xml:space="preserve">D</t>
    </r>
  </si>
  <si>
    <t xml:space="preserve">R017</t>
  </si>
  <si>
    <r>
      <rPr>
        <sz val="11"/>
        <rFont val="Noto Sans CJK SC"/>
        <family val="2"/>
      </rPr>
      <t xml:space="preserve">경주 카페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디저트 </t>
    </r>
    <r>
      <rPr>
        <sz val="11"/>
        <rFont val="Arial"/>
        <family val="0"/>
        <charset val="1"/>
      </rPr>
      <t xml:space="preserve">A</t>
    </r>
  </si>
  <si>
    <t xml:space="preserve">R018</t>
  </si>
  <si>
    <r>
      <rPr>
        <sz val="11"/>
        <rFont val="Noto Sans CJK SC"/>
        <family val="2"/>
      </rPr>
      <t xml:space="preserve">경주 분식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간편식 </t>
    </r>
    <r>
      <rPr>
        <sz val="11"/>
        <rFont val="Arial"/>
        <family val="0"/>
        <charset val="1"/>
      </rPr>
      <t xml:space="preserve">B</t>
    </r>
  </si>
  <si>
    <t xml:space="preserve">R019</t>
  </si>
  <si>
    <r>
      <rPr>
        <sz val="11"/>
        <rFont val="Noto Sans CJK SC"/>
        <family val="2"/>
      </rPr>
      <t xml:space="preserve">경주 고기구이 </t>
    </r>
    <r>
      <rPr>
        <sz val="11"/>
        <rFont val="Arial"/>
        <family val="0"/>
        <charset val="1"/>
      </rPr>
      <t xml:space="preserve">C</t>
    </r>
  </si>
  <si>
    <t xml:space="preserve">R020</t>
  </si>
  <si>
    <r>
      <rPr>
        <sz val="11"/>
        <rFont val="Noto Sans CJK SC"/>
        <family val="2"/>
      </rPr>
      <t xml:space="preserve">경주 한정식 </t>
    </r>
    <r>
      <rPr>
        <sz val="11"/>
        <rFont val="Arial"/>
        <family val="0"/>
        <charset val="1"/>
      </rPr>
      <t xml:space="preserve">D</t>
    </r>
  </si>
  <si>
    <t xml:space="preserve">R021</t>
  </si>
  <si>
    <r>
      <rPr>
        <sz val="11"/>
        <rFont val="Noto Sans CJK SC"/>
        <family val="2"/>
      </rPr>
      <t xml:space="preserve">부산 분식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간편식 </t>
    </r>
    <r>
      <rPr>
        <sz val="11"/>
        <rFont val="Arial"/>
        <family val="0"/>
        <charset val="1"/>
      </rPr>
      <t xml:space="preserve">A</t>
    </r>
  </si>
  <si>
    <t xml:space="preserve">R022</t>
  </si>
  <si>
    <r>
      <rPr>
        <sz val="11"/>
        <rFont val="Noto Sans CJK SC"/>
        <family val="2"/>
      </rPr>
      <t xml:space="preserve">부산 향토음식 </t>
    </r>
    <r>
      <rPr>
        <sz val="11"/>
        <rFont val="Arial"/>
        <family val="0"/>
        <charset val="1"/>
      </rPr>
      <t xml:space="preserve">B</t>
    </r>
  </si>
  <si>
    <t xml:space="preserve">R023</t>
  </si>
  <si>
    <r>
      <rPr>
        <sz val="11"/>
        <rFont val="Noto Sans CJK SC"/>
        <family val="2"/>
      </rPr>
      <t xml:space="preserve">부산 고기구이 </t>
    </r>
    <r>
      <rPr>
        <sz val="11"/>
        <rFont val="Arial"/>
        <family val="0"/>
        <charset val="1"/>
      </rPr>
      <t xml:space="preserve">C</t>
    </r>
  </si>
  <si>
    <t xml:space="preserve">R024</t>
  </si>
  <si>
    <r>
      <rPr>
        <sz val="11"/>
        <rFont val="Noto Sans CJK SC"/>
        <family val="2"/>
      </rPr>
      <t xml:space="preserve">부산 한정식 </t>
    </r>
    <r>
      <rPr>
        <sz val="11"/>
        <rFont val="Arial"/>
        <family val="0"/>
        <charset val="1"/>
      </rPr>
      <t xml:space="preserve">D</t>
    </r>
  </si>
  <si>
    <t xml:space="preserve">R025</t>
  </si>
  <si>
    <r>
      <rPr>
        <sz val="11"/>
        <rFont val="Noto Sans CJK SC"/>
        <family val="2"/>
      </rPr>
      <t xml:space="preserve">여수 한정식 </t>
    </r>
    <r>
      <rPr>
        <sz val="11"/>
        <rFont val="Arial"/>
        <family val="0"/>
        <charset val="1"/>
      </rPr>
      <t xml:space="preserve">A</t>
    </r>
  </si>
  <si>
    <t xml:space="preserve">R026</t>
  </si>
  <si>
    <r>
      <rPr>
        <sz val="11"/>
        <rFont val="Noto Sans CJK SC"/>
        <family val="2"/>
      </rPr>
      <t xml:space="preserve">여수 고기구이 </t>
    </r>
    <r>
      <rPr>
        <sz val="11"/>
        <rFont val="Arial"/>
        <family val="0"/>
        <charset val="1"/>
      </rPr>
      <t xml:space="preserve">B</t>
    </r>
  </si>
  <si>
    <t xml:space="preserve">R027</t>
  </si>
  <si>
    <r>
      <rPr>
        <sz val="11"/>
        <rFont val="Noto Sans CJK SC"/>
        <family val="2"/>
      </rPr>
      <t xml:space="preserve">여수 향토음식 </t>
    </r>
    <r>
      <rPr>
        <sz val="11"/>
        <rFont val="Arial"/>
        <family val="0"/>
        <charset val="1"/>
      </rPr>
      <t xml:space="preserve">C</t>
    </r>
  </si>
  <si>
    <t xml:space="preserve">R028</t>
  </si>
  <si>
    <r>
      <rPr>
        <sz val="11"/>
        <rFont val="Noto Sans CJK SC"/>
        <family val="2"/>
      </rPr>
      <t xml:space="preserve">여수 해산물 </t>
    </r>
    <r>
      <rPr>
        <sz val="11"/>
        <rFont val="Arial"/>
        <family val="0"/>
        <charset val="1"/>
      </rPr>
      <t xml:space="preserve">D</t>
    </r>
  </si>
  <si>
    <t xml:space="preserve">R029</t>
  </si>
  <si>
    <r>
      <rPr>
        <sz val="11"/>
        <rFont val="Noto Sans CJK SC"/>
        <family val="2"/>
      </rPr>
      <t xml:space="preserve">전주 분식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간편식 </t>
    </r>
    <r>
      <rPr>
        <sz val="11"/>
        <rFont val="Arial"/>
        <family val="0"/>
        <charset val="1"/>
      </rPr>
      <t xml:space="preserve">A</t>
    </r>
  </si>
  <si>
    <t xml:space="preserve">R030</t>
  </si>
  <si>
    <r>
      <rPr>
        <sz val="11"/>
        <rFont val="Noto Sans CJK SC"/>
        <family val="2"/>
      </rPr>
      <t xml:space="preserve">전주 해산물 </t>
    </r>
    <r>
      <rPr>
        <sz val="11"/>
        <rFont val="Arial"/>
        <family val="0"/>
        <charset val="1"/>
      </rPr>
      <t xml:space="preserve">B</t>
    </r>
  </si>
  <si>
    <t xml:space="preserve">R031</t>
  </si>
  <si>
    <r>
      <rPr>
        <sz val="11"/>
        <rFont val="Noto Sans CJK SC"/>
        <family val="2"/>
      </rPr>
      <t xml:space="preserve">전주 향토음식 </t>
    </r>
    <r>
      <rPr>
        <sz val="11"/>
        <rFont val="Arial"/>
        <family val="0"/>
        <charset val="1"/>
      </rPr>
      <t xml:space="preserve">C</t>
    </r>
  </si>
  <si>
    <t xml:space="preserve">R032</t>
  </si>
  <si>
    <r>
      <rPr>
        <sz val="11"/>
        <rFont val="Noto Sans CJK SC"/>
        <family val="2"/>
      </rPr>
      <t xml:space="preserve">전주 카페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디저트 </t>
    </r>
    <r>
      <rPr>
        <sz val="11"/>
        <rFont val="Arial"/>
        <family val="0"/>
        <charset val="1"/>
      </rPr>
      <t xml:space="preserve">D</t>
    </r>
  </si>
  <si>
    <r>
      <rPr>
        <b val="true"/>
        <sz val="11"/>
        <color rgb="FFFFFFFF"/>
        <rFont val="Noto Sans CJK SC"/>
        <family val="2"/>
      </rPr>
      <t xml:space="preserve">교통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</si>
  <si>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출발지역</t>
  </si>
  <si>
    <t xml:space="preserve">도착지역</t>
  </si>
  <si>
    <t xml:space="preserve">수단</t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</si>
  <si>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인 요금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</si>
  <si>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T001</t>
  </si>
  <si>
    <r>
      <rPr>
        <sz val="11"/>
        <rFont val="Noto Sans CJK SC"/>
        <family val="2"/>
      </rPr>
      <t xml:space="preserve">자가용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렌터카</t>
    </r>
  </si>
  <si>
    <t xml:space="preserve">T002</t>
  </si>
  <si>
    <t xml:space="preserve">시외버스</t>
  </si>
  <si>
    <t xml:space="preserve">T003</t>
  </si>
  <si>
    <t xml:space="preserve">T004</t>
  </si>
  <si>
    <t xml:space="preserve">T005</t>
  </si>
  <si>
    <t xml:space="preserve">T006</t>
  </si>
  <si>
    <t xml:space="preserve">T007</t>
  </si>
  <si>
    <t xml:space="preserve">T008</t>
  </si>
  <si>
    <t xml:space="preserve">T009</t>
  </si>
  <si>
    <t xml:space="preserve">T010</t>
  </si>
  <si>
    <t xml:space="preserve">T011</t>
  </si>
  <si>
    <t xml:space="preserve">T012</t>
  </si>
  <si>
    <t xml:space="preserve">T013</t>
  </si>
  <si>
    <t xml:space="preserve">T014</t>
  </si>
  <si>
    <t xml:space="preserve">T015</t>
  </si>
  <si>
    <t xml:space="preserve">T016</t>
  </si>
  <si>
    <r>
      <rPr>
        <i val="true"/>
        <sz val="11"/>
        <rFont val="Noto Sans CJK SC"/>
        <family val="2"/>
      </rPr>
      <t xml:space="preserve">※ 같은 구간은 양방향 동일 적용</t>
    </r>
    <r>
      <rPr>
        <i val="true"/>
        <sz val="11"/>
        <rFont val="Arial"/>
        <family val="0"/>
        <charset val="1"/>
      </rPr>
      <t xml:space="preserve">. </t>
    </r>
    <r>
      <rPr>
        <i val="true"/>
        <sz val="11"/>
        <rFont val="Noto Sans CJK SC"/>
        <family val="2"/>
      </rPr>
      <t xml:space="preserve">자가용</t>
    </r>
    <r>
      <rPr>
        <i val="true"/>
        <sz val="11"/>
        <rFont val="Arial"/>
        <family val="0"/>
        <charset val="1"/>
      </rPr>
      <t xml:space="preserve">·</t>
    </r>
    <r>
      <rPr>
        <i val="true"/>
        <sz val="11"/>
        <rFont val="Noto Sans CJK SC"/>
        <family val="2"/>
      </rPr>
      <t xml:space="preserve">렌터카 </t>
    </r>
    <r>
      <rPr>
        <i val="true"/>
        <sz val="11"/>
        <rFont val="Arial"/>
        <family val="0"/>
        <charset val="1"/>
      </rPr>
      <t xml:space="preserve">1</t>
    </r>
    <r>
      <rPr>
        <i val="true"/>
        <sz val="11"/>
        <rFont val="Noto Sans CJK SC"/>
        <family val="2"/>
      </rPr>
      <t xml:space="preserve">인 요금 </t>
    </r>
    <r>
      <rPr>
        <i val="true"/>
        <sz val="11"/>
        <rFont val="Arial"/>
        <family val="0"/>
        <charset val="1"/>
      </rPr>
      <t xml:space="preserve">0</t>
    </r>
    <r>
      <rPr>
        <i val="true"/>
        <sz val="11"/>
        <rFont val="Noto Sans CJK SC"/>
        <family val="2"/>
      </rPr>
      <t xml:space="preserve">원 </t>
    </r>
    <r>
      <rPr>
        <i val="true"/>
        <sz val="11"/>
        <rFont val="Arial"/>
        <family val="0"/>
        <charset val="1"/>
      </rPr>
      <t xml:space="preserve">= </t>
    </r>
    <r>
      <rPr>
        <i val="true"/>
        <sz val="11"/>
        <rFont val="Noto Sans CJK SC"/>
        <family val="2"/>
      </rPr>
      <t xml:space="preserve">차량비는 견적기준 시트의 </t>
    </r>
    <r>
      <rPr>
        <i val="true"/>
        <sz val="11"/>
        <rFont val="Arial"/>
        <family val="0"/>
        <charset val="1"/>
      </rPr>
      <t xml:space="preserve">'</t>
    </r>
    <r>
      <rPr>
        <i val="true"/>
        <sz val="11"/>
        <rFont val="Noto Sans CJK SC"/>
        <family val="2"/>
      </rPr>
      <t xml:space="preserve">렌터카 </t>
    </r>
    <r>
      <rPr>
        <i val="true"/>
        <sz val="11"/>
        <rFont val="Arial"/>
        <family val="0"/>
        <charset val="1"/>
      </rPr>
      <t xml:space="preserve">1</t>
    </r>
    <r>
      <rPr>
        <i val="true"/>
        <sz val="11"/>
        <rFont val="Noto Sans CJK SC"/>
        <family val="2"/>
      </rPr>
      <t xml:space="preserve">일 요금</t>
    </r>
    <r>
      <rPr>
        <i val="true"/>
        <sz val="11"/>
        <rFont val="Arial"/>
        <family val="0"/>
        <charset val="1"/>
      </rPr>
      <t xml:space="preserve">'</t>
    </r>
    <r>
      <rPr>
        <i val="true"/>
        <sz val="11"/>
        <rFont val="Noto Sans CJK SC"/>
        <family val="2"/>
      </rPr>
      <t xml:space="preserve">으로 별도 계산</t>
    </r>
  </si>
  <si>
    <t xml:space="preserve">항목</t>
  </si>
  <si>
    <t xml:space="preserve">기준값</t>
  </si>
  <si>
    <t xml:space="preserve">설명</t>
  </si>
  <si>
    <t xml:space="preserve">예비비율</t>
  </si>
  <si>
    <t xml:space="preserve">소계 대비</t>
  </si>
  <si>
    <r>
      <rPr>
        <sz val="11"/>
        <rFont val="Noto Sans CJK SC"/>
        <family val="2"/>
      </rPr>
      <t xml:space="preserve">렌터카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일 요금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원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</si>
  <si>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차량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대 기준</t>
    </r>
  </si>
  <si>
    <r>
      <rPr>
        <sz val="11"/>
        <rFont val="Noto Sans CJK SC"/>
        <family val="2"/>
      </rPr>
      <t xml:space="preserve">렌터카 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대 탑승 인원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명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</si>
  <si>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초과 시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대</t>
    </r>
  </si>
  <si>
    <t xml:space="preserve">성수기 시작일</t>
  </si>
  <si>
    <t xml:space="preserve">2026-07-15</t>
  </si>
  <si>
    <r>
      <rPr>
        <sz val="11"/>
        <rFont val="Noto Sans CJK SC"/>
        <family val="2"/>
      </rPr>
      <t xml:space="preserve">날짜 형식 </t>
    </r>
    <r>
      <rPr>
        <sz val="11"/>
        <rFont val="Arial"/>
        <family val="0"/>
        <charset val="1"/>
      </rPr>
      <t xml:space="preserve">YYYY-MM-DD</t>
    </r>
  </si>
  <si>
    <t xml:space="preserve">성수기 종료일</t>
  </si>
  <si>
    <t xml:space="preserve">2026-08-20</t>
  </si>
  <si>
    <t xml:space="preserve">아동 기준</t>
  </si>
  <si>
    <r>
      <rPr>
        <sz val="11"/>
        <rFont val="Noto Sans CJK SC"/>
        <family val="2"/>
      </rPr>
      <t xml:space="preserve">만 </t>
    </r>
    <r>
      <rPr>
        <sz val="11"/>
        <rFont val="Arial"/>
        <family val="0"/>
        <charset val="1"/>
      </rPr>
      <t xml:space="preserve">13</t>
    </r>
    <r>
      <rPr>
        <sz val="11"/>
        <rFont val="Noto Sans CJK SC"/>
        <family val="2"/>
      </rPr>
      <t xml:space="preserve">세 미만</t>
    </r>
  </si>
  <si>
    <t xml:space="preserve">학습 편의상 가정</t>
  </si>
  <si>
    <r>
      <rPr>
        <sz val="11"/>
        <rFont val="Noto Sans CJK SC"/>
        <family val="2"/>
      </rPr>
      <t xml:space="preserve">하루 최대 일정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시간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</si>
  <si>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이동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관람 합계</t>
    </r>
  </si>
  <si>
    <r>
      <rPr>
        <sz val="11"/>
        <rFont val="Noto Sans CJK SC"/>
        <family val="2"/>
      </rPr>
      <t xml:space="preserve">선택 가능 지역 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최대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</si>
  <si>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선택 가능 테마 수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최대</t>
    </r>
    <r>
      <rPr>
        <sz val="11"/>
        <rFont val="Arial"/>
        <family val="0"/>
        <charset val="1"/>
      </rPr>
      <t xml:space="preserve">)</t>
    </r>
  </si>
  <si>
    <t xml:space="preserve">여행 견적서</t>
  </si>
  <si>
    <t xml:space="preserve">고객명</t>
  </si>
  <si>
    <r>
      <rPr>
        <sz val="11"/>
        <rFont val="Noto Sans CJK SC"/>
        <family val="2"/>
      </rPr>
      <t xml:space="preserve">홍길동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예시</t>
    </r>
    <r>
      <rPr>
        <sz val="11"/>
        <rFont val="Arial"/>
        <family val="0"/>
        <charset val="1"/>
      </rPr>
      <t xml:space="preserve">)</t>
    </r>
  </si>
  <si>
    <t xml:space="preserve">여행 지역</t>
  </si>
  <si>
    <r>
      <rPr>
        <sz val="11"/>
        <rFont val="Noto Sans CJK SC"/>
        <family val="2"/>
      </rPr>
      <t xml:space="preserve">강릉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속초</t>
    </r>
  </si>
  <si>
    <t xml:space="preserve">출발일</t>
  </si>
  <si>
    <t xml:space="preserve">2026-08-01</t>
  </si>
  <si>
    <t xml:space="preserve">기간</t>
  </si>
  <si>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박 </t>
    </r>
    <r>
      <rPr>
        <sz val="11"/>
        <rFont val="Arial"/>
        <family val="0"/>
        <charset val="1"/>
      </rPr>
      <t xml:space="preserve">3</t>
    </r>
    <r>
      <rPr>
        <sz val="11"/>
        <rFont val="Noto Sans CJK SC"/>
        <family val="2"/>
      </rPr>
      <t xml:space="preserve">일</t>
    </r>
  </si>
  <si>
    <r>
      <rPr>
        <b val="true"/>
        <sz val="11"/>
        <rFont val="Noto Sans CJK SC"/>
        <family val="2"/>
      </rPr>
      <t xml:space="preserve">성인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명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</si>
  <si>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아동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명</t>
    </r>
    <r>
      <rPr>
        <b val="true"/>
        <sz val="11"/>
        <rFont val="Arial"/>
        <family val="0"/>
        <charset val="1"/>
      </rPr>
      <t xml:space="preserve">)</t>
    </r>
  </si>
  <si>
    <t xml:space="preserve">구분</t>
  </si>
  <si>
    <r>
      <rPr>
        <b val="true"/>
        <sz val="11"/>
        <color rgb="FFFFFFFF"/>
        <rFont val="Noto Sans CJK SC"/>
        <family val="2"/>
      </rPr>
      <t xml:space="preserve">참조</t>
    </r>
    <r>
      <rPr>
        <b val="true"/>
        <sz val="11"/>
        <color rgb="FFFFFFFF"/>
        <rFont val="Arial"/>
        <family val="0"/>
        <charset val="1"/>
      </rPr>
      <t xml:space="preserve">ID</t>
    </r>
  </si>
  <si>
    <t xml:space="preserve">항목명</t>
  </si>
  <si>
    <r>
      <rPr>
        <b val="true"/>
        <sz val="11"/>
        <color rgb="FFFFFFFF"/>
        <rFont val="Noto Sans CJK SC"/>
        <family val="2"/>
      </rPr>
      <t xml:space="preserve">단가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</si>
  <si>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수량</t>
  </si>
  <si>
    <r>
      <rPr>
        <b val="true"/>
        <sz val="11"/>
        <color rgb="FFFFFFFF"/>
        <rFont val="Noto Sans CJK SC"/>
        <family val="2"/>
      </rPr>
      <t xml:space="preserve">금액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</si>
  <si>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숙소</t>
  </si>
  <si>
    <t xml:space="preserve">명소</t>
  </si>
  <si>
    <t xml:space="preserve">식당</t>
  </si>
  <si>
    <t xml:space="preserve">교통</t>
  </si>
  <si>
    <t xml:space="preserve">소계</t>
  </si>
  <si>
    <t xml:space="preserve">예비비</t>
  </si>
  <si>
    <t xml:space="preserve">합계</t>
  </si>
  <si>
    <r>
      <rPr>
        <i val="true"/>
        <sz val="11"/>
        <rFont val="Noto Sans CJK SC"/>
        <family val="2"/>
      </rPr>
      <t xml:space="preserve">※ 노란 칸만 입력</t>
    </r>
    <r>
      <rPr>
        <i val="true"/>
        <sz val="11"/>
        <rFont val="Arial"/>
        <family val="0"/>
        <charset val="1"/>
      </rPr>
      <t xml:space="preserve">: </t>
    </r>
    <r>
      <rPr>
        <i val="true"/>
        <sz val="11"/>
        <rFont val="Noto Sans CJK SC"/>
        <family val="2"/>
      </rPr>
      <t xml:space="preserve">상단 고객 정보</t>
    </r>
    <r>
      <rPr>
        <i val="true"/>
        <sz val="11"/>
        <rFont val="Arial"/>
        <family val="0"/>
        <charset val="1"/>
      </rPr>
      <t xml:space="preserve">, </t>
    </r>
    <r>
      <rPr>
        <i val="true"/>
        <sz val="11"/>
        <rFont val="Noto Sans CJK SC"/>
        <family val="2"/>
      </rPr>
      <t xml:space="preserve">구분</t>
    </r>
    <r>
      <rPr>
        <i val="true"/>
        <sz val="11"/>
        <rFont val="Arial"/>
        <family val="0"/>
        <charset val="1"/>
      </rPr>
      <t xml:space="preserve">·</t>
    </r>
    <r>
      <rPr>
        <i val="true"/>
        <sz val="11"/>
        <rFont val="Noto Sans CJK SC"/>
        <family val="2"/>
      </rPr>
      <t xml:space="preserve">참조</t>
    </r>
    <r>
      <rPr>
        <i val="true"/>
        <sz val="11"/>
        <rFont val="Arial"/>
        <family val="0"/>
        <charset val="1"/>
      </rPr>
      <t xml:space="preserve">ID·</t>
    </r>
    <r>
      <rPr>
        <i val="true"/>
        <sz val="11"/>
        <rFont val="Noto Sans CJK SC"/>
        <family val="2"/>
      </rPr>
      <t xml:space="preserve">수량</t>
    </r>
    <r>
      <rPr>
        <i val="true"/>
        <sz val="11"/>
        <rFont val="Arial"/>
        <family val="0"/>
        <charset val="1"/>
      </rPr>
      <t xml:space="preserve">. </t>
    </r>
    <r>
      <rPr>
        <i val="true"/>
        <sz val="11"/>
        <rFont val="Noto Sans CJK SC"/>
        <family val="2"/>
      </rPr>
      <t xml:space="preserve">항목명</t>
    </r>
    <r>
      <rPr>
        <i val="true"/>
        <sz val="11"/>
        <rFont val="Arial"/>
        <family val="0"/>
        <charset val="1"/>
      </rPr>
      <t xml:space="preserve">·</t>
    </r>
    <r>
      <rPr>
        <i val="true"/>
        <sz val="11"/>
        <rFont val="Noto Sans CJK SC"/>
        <family val="2"/>
      </rPr>
      <t xml:space="preserve">단가</t>
    </r>
    <r>
      <rPr>
        <i val="true"/>
        <sz val="11"/>
        <rFont val="Arial"/>
        <family val="0"/>
        <charset val="1"/>
      </rPr>
      <t xml:space="preserve">·</t>
    </r>
    <r>
      <rPr>
        <i val="true"/>
        <sz val="11"/>
        <rFont val="Noto Sans CJK SC"/>
        <family val="2"/>
      </rPr>
      <t xml:space="preserve">금액은 수식으로 자동 계산</t>
    </r>
    <r>
      <rPr>
        <i val="true"/>
        <sz val="11"/>
        <rFont val="Arial"/>
        <family val="0"/>
        <charset val="1"/>
      </rPr>
      <t xml:space="preserve">.</t>
    </r>
  </si>
  <si>
    <r>
      <rPr>
        <i val="true"/>
        <sz val="11"/>
        <rFont val="Noto Sans CJK SC"/>
        <family val="2"/>
      </rPr>
      <t xml:space="preserve">※ 숙소 수량 </t>
    </r>
    <r>
      <rPr>
        <i val="true"/>
        <sz val="11"/>
        <rFont val="Arial"/>
        <family val="0"/>
        <charset val="1"/>
      </rPr>
      <t xml:space="preserve">= </t>
    </r>
    <r>
      <rPr>
        <i val="true"/>
        <sz val="11"/>
        <rFont val="Noto Sans CJK SC"/>
        <family val="2"/>
      </rPr>
      <t xml:space="preserve">객실 수 </t>
    </r>
    <r>
      <rPr>
        <i val="true"/>
        <sz val="11"/>
        <rFont val="Arial"/>
        <family val="0"/>
        <charset val="1"/>
      </rPr>
      <t xml:space="preserve">× </t>
    </r>
    <r>
      <rPr>
        <i val="true"/>
        <sz val="11"/>
        <rFont val="Noto Sans CJK SC"/>
        <family val="2"/>
      </rPr>
      <t xml:space="preserve">박수</t>
    </r>
    <r>
      <rPr>
        <i val="true"/>
        <sz val="11"/>
        <rFont val="Arial"/>
        <family val="0"/>
        <charset val="1"/>
      </rPr>
      <t xml:space="preserve">, </t>
    </r>
    <r>
      <rPr>
        <i val="true"/>
        <sz val="11"/>
        <rFont val="Noto Sans CJK SC"/>
        <family val="2"/>
      </rPr>
      <t xml:space="preserve">명소</t>
    </r>
    <r>
      <rPr>
        <i val="true"/>
        <sz val="11"/>
        <rFont val="Arial"/>
        <family val="0"/>
        <charset val="1"/>
      </rPr>
      <t xml:space="preserve">·</t>
    </r>
    <r>
      <rPr>
        <i val="true"/>
        <sz val="11"/>
        <rFont val="Noto Sans CJK SC"/>
        <family val="2"/>
      </rPr>
      <t xml:space="preserve">식당</t>
    </r>
    <r>
      <rPr>
        <i val="true"/>
        <sz val="11"/>
        <rFont val="Arial"/>
        <family val="0"/>
        <charset val="1"/>
      </rPr>
      <t xml:space="preserve">·</t>
    </r>
    <r>
      <rPr>
        <i val="true"/>
        <sz val="11"/>
        <rFont val="Noto Sans CJK SC"/>
        <family val="2"/>
      </rPr>
      <t xml:space="preserve">교통 수량 </t>
    </r>
    <r>
      <rPr>
        <i val="true"/>
        <sz val="11"/>
        <rFont val="Arial"/>
        <family val="0"/>
        <charset val="1"/>
      </rPr>
      <t xml:space="preserve">= </t>
    </r>
    <r>
      <rPr>
        <i val="true"/>
        <sz val="11"/>
        <rFont val="Noto Sans CJK SC"/>
        <family val="2"/>
      </rPr>
      <t xml:space="preserve">인원 수</t>
    </r>
    <r>
      <rPr>
        <i val="true"/>
        <sz val="11"/>
        <rFont val="Arial"/>
        <family val="0"/>
        <charset val="1"/>
      </rPr>
      <t xml:space="preserve">. </t>
    </r>
    <r>
      <rPr>
        <i val="true"/>
        <sz val="11"/>
        <rFont val="Noto Sans CJK SC"/>
        <family val="2"/>
      </rPr>
      <t xml:space="preserve">예시 행은 성수기 할증</t>
    </r>
    <r>
      <rPr>
        <i val="true"/>
        <sz val="11"/>
        <rFont val="Arial"/>
        <family val="0"/>
        <charset val="1"/>
      </rPr>
      <t xml:space="preserve">·</t>
    </r>
    <r>
      <rPr>
        <i val="true"/>
        <sz val="11"/>
        <rFont val="Noto Sans CJK SC"/>
        <family val="2"/>
      </rPr>
      <t xml:space="preserve">아동 요금 미반영</t>
    </r>
    <r>
      <rPr>
        <i val="true"/>
        <sz val="11"/>
        <rFont val="Arial"/>
        <family val="0"/>
        <charset val="1"/>
      </rPr>
      <t xml:space="preserve">.</t>
    </r>
  </si>
  <si>
    <r>
      <rPr>
        <i val="true"/>
        <sz val="11"/>
        <color rgb="FFC00000"/>
        <rFont val="Noto Sans CJK SC"/>
        <family val="2"/>
      </rPr>
      <t xml:space="preserve">※ 모든 데이터는 실습용 가상 예시이며 실제 가격이 아님</t>
    </r>
    <r>
      <rPr>
        <i val="true"/>
        <sz val="11"/>
        <color rgb="FFC0000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</si>
</sst>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i val="true"/>
      <sz val="11"/>
      <name val="Noto Sans CJK SC"/>
      <family val="2"/>
    </font>
    <font>
      <i val="true"/>
      <sz val="11"/>
      <name val="Arial"/>
      <family val="0"/>
      <charset val="1"/>
    </font>
    <font>
      <b val="true"/>
      <sz val="16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i val="true"/>
      <sz val="11"/>
      <color rgb="FFC00000"/>
      <name val="Noto Sans CJK SC"/>
      <family val="2"/>
    </font>
    <font>
      <i val="true"/>
      <sz val="11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7.15" hidden="false" customHeight="false" outlineLevel="0" collapsed="false">
      <c r="A3" s="3" t="s">
        <v>1</v>
      </c>
    </row>
    <row r="4" customFormat="false" ht="17.15" hidden="false" customHeight="false" outlineLevel="0" collapsed="false">
      <c r="A4" s="3" t="s">
        <v>2</v>
      </c>
    </row>
    <row r="5" customFormat="false" ht="17.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3" t="s">
        <v>4</v>
      </c>
    </row>
    <row r="7" customFormat="false" ht="17.15" hidden="false" customHeight="false" outlineLevel="0" collapsed="false">
      <c r="A7" s="3" t="s">
        <v>5</v>
      </c>
    </row>
    <row r="8" customFormat="false" ht="17.15" hidden="false" customHeight="false" outlineLevel="0" collapsed="false">
      <c r="A8" s="3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20"/>
  </cols>
  <sheetData>
    <row r="1" customFormat="false" ht="17.15" hidden="false" customHeight="false" outlineLevel="0" collapsed="false">
      <c r="A1" s="4" t="s">
        <v>7</v>
      </c>
      <c r="B1" s="4" t="s">
        <v>8</v>
      </c>
      <c r="C1" s="4" t="s">
        <v>9</v>
      </c>
      <c r="D1" s="4" t="s">
        <v>10</v>
      </c>
    </row>
    <row r="2" customFormat="false" ht="15" hidden="false" customHeight="false" outlineLevel="0" collapsed="false">
      <c r="A2" s="5" t="s">
        <v>11</v>
      </c>
      <c r="B2" s="6" t="s">
        <v>12</v>
      </c>
      <c r="C2" s="6" t="s">
        <v>13</v>
      </c>
      <c r="D2" s="6" t="s">
        <v>14</v>
      </c>
    </row>
    <row r="3" customFormat="false" ht="15" hidden="false" customHeight="false" outlineLevel="0" collapsed="false">
      <c r="A3" s="5" t="s">
        <v>15</v>
      </c>
      <c r="B3" s="6" t="s">
        <v>16</v>
      </c>
      <c r="C3" s="6" t="s">
        <v>13</v>
      </c>
      <c r="D3" s="6" t="s">
        <v>14</v>
      </c>
    </row>
    <row r="4" customFormat="false" ht="15" hidden="false" customHeight="false" outlineLevel="0" collapsed="false">
      <c r="A4" s="5" t="s">
        <v>17</v>
      </c>
      <c r="B4" s="6" t="s">
        <v>18</v>
      </c>
      <c r="C4" s="6" t="s">
        <v>13</v>
      </c>
      <c r="D4" s="6" t="s">
        <v>14</v>
      </c>
    </row>
    <row r="5" customFormat="false" ht="15" hidden="false" customHeight="false" outlineLevel="0" collapsed="false">
      <c r="A5" s="5" t="s">
        <v>19</v>
      </c>
      <c r="B5" s="6" t="s">
        <v>20</v>
      </c>
      <c r="C5" s="6" t="s">
        <v>21</v>
      </c>
      <c r="D5" s="6" t="s">
        <v>14</v>
      </c>
    </row>
    <row r="6" customFormat="false" ht="15" hidden="false" customHeight="false" outlineLevel="0" collapsed="false">
      <c r="A6" s="5" t="s">
        <v>22</v>
      </c>
      <c r="B6" s="6" t="s">
        <v>23</v>
      </c>
      <c r="C6" s="6" t="s">
        <v>24</v>
      </c>
      <c r="D6" s="6" t="s">
        <v>14</v>
      </c>
    </row>
    <row r="7" customFormat="false" ht="15" hidden="false" customHeight="false" outlineLevel="0" collapsed="false">
      <c r="A7" s="5" t="s">
        <v>25</v>
      </c>
      <c r="B7" s="6" t="s">
        <v>26</v>
      </c>
      <c r="C7" s="6" t="s">
        <v>27</v>
      </c>
      <c r="D7" s="6" t="s">
        <v>14</v>
      </c>
    </row>
    <row r="8" customFormat="false" ht="15" hidden="false" customHeight="false" outlineLevel="0" collapsed="false">
      <c r="A8" s="5" t="s">
        <v>28</v>
      </c>
      <c r="B8" s="6" t="s">
        <v>29</v>
      </c>
      <c r="C8" s="6" t="s">
        <v>30</v>
      </c>
      <c r="D8" s="6" t="s">
        <v>14</v>
      </c>
    </row>
    <row r="9" customFormat="false" ht="15" hidden="false" customHeight="false" outlineLevel="0" collapsed="false">
      <c r="A9" s="5" t="s">
        <v>31</v>
      </c>
      <c r="B9" s="6" t="s">
        <v>32</v>
      </c>
      <c r="C9" s="6" t="s">
        <v>33</v>
      </c>
      <c r="D9" s="6" t="s">
        <v>14</v>
      </c>
    </row>
  </sheetData>
  <autoFilter ref="A1:D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9" min="9" style="0" width="8"/>
  </cols>
  <sheetData>
    <row r="1" customFormat="false" ht="32.8" hidden="false" customHeight="false" outlineLevel="0" collapsed="false">
      <c r="A1" s="4" t="s">
        <v>34</v>
      </c>
      <c r="B1" s="4" t="s">
        <v>7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I1" s="4" t="s">
        <v>41</v>
      </c>
    </row>
    <row r="2" customFormat="false" ht="17.15" hidden="false" customHeight="false" outlineLevel="0" collapsed="false">
      <c r="A2" s="5" t="s">
        <v>42</v>
      </c>
      <c r="B2" s="5" t="s">
        <v>11</v>
      </c>
      <c r="C2" s="6" t="s">
        <v>43</v>
      </c>
      <c r="D2" s="6" t="s">
        <v>44</v>
      </c>
      <c r="E2" s="6" t="s">
        <v>45</v>
      </c>
      <c r="F2" s="5" t="n">
        <v>1.5</v>
      </c>
      <c r="G2" s="5" t="n">
        <v>0</v>
      </c>
      <c r="H2" s="5" t="n">
        <v>0</v>
      </c>
      <c r="I2" s="6" t="s">
        <v>14</v>
      </c>
    </row>
    <row r="3" customFormat="false" ht="17.15" hidden="false" customHeight="false" outlineLevel="0" collapsed="false">
      <c r="A3" s="5" t="s">
        <v>46</v>
      </c>
      <c r="B3" s="5" t="s">
        <v>11</v>
      </c>
      <c r="C3" s="6" t="s">
        <v>47</v>
      </c>
      <c r="D3" s="6" t="s">
        <v>48</v>
      </c>
      <c r="E3" s="6" t="s">
        <v>49</v>
      </c>
      <c r="F3" s="5" t="n">
        <v>1.5</v>
      </c>
      <c r="G3" s="5" t="n">
        <v>0</v>
      </c>
      <c r="H3" s="5" t="n">
        <v>0</v>
      </c>
      <c r="I3" s="6" t="s">
        <v>14</v>
      </c>
    </row>
    <row r="4" customFormat="false" ht="17.15" hidden="false" customHeight="false" outlineLevel="0" collapsed="false">
      <c r="A4" s="5" t="s">
        <v>50</v>
      </c>
      <c r="B4" s="5" t="s">
        <v>11</v>
      </c>
      <c r="C4" s="6" t="s">
        <v>51</v>
      </c>
      <c r="D4" s="6" t="s">
        <v>52</v>
      </c>
      <c r="E4" s="6" t="s">
        <v>45</v>
      </c>
      <c r="F4" s="5" t="n">
        <v>1</v>
      </c>
      <c r="G4" s="5" t="n">
        <v>5000</v>
      </c>
      <c r="H4" s="5" t="n">
        <v>3000</v>
      </c>
      <c r="I4" s="6" t="s">
        <v>53</v>
      </c>
    </row>
    <row r="5" customFormat="false" ht="17.15" hidden="false" customHeight="false" outlineLevel="0" collapsed="false">
      <c r="A5" s="5" t="s">
        <v>54</v>
      </c>
      <c r="B5" s="5" t="s">
        <v>11</v>
      </c>
      <c r="C5" s="6" t="s">
        <v>55</v>
      </c>
      <c r="D5" s="6" t="s">
        <v>56</v>
      </c>
      <c r="E5" s="6" t="s">
        <v>57</v>
      </c>
      <c r="F5" s="5" t="n">
        <v>2</v>
      </c>
      <c r="G5" s="5" t="n">
        <v>0</v>
      </c>
      <c r="H5" s="5" t="n">
        <v>0</v>
      </c>
      <c r="I5" s="6" t="s">
        <v>14</v>
      </c>
    </row>
    <row r="6" customFormat="false" ht="17.15" hidden="false" customHeight="false" outlineLevel="0" collapsed="false">
      <c r="A6" s="5" t="s">
        <v>58</v>
      </c>
      <c r="B6" s="5" t="s">
        <v>11</v>
      </c>
      <c r="C6" s="6" t="s">
        <v>59</v>
      </c>
      <c r="D6" s="6" t="s">
        <v>60</v>
      </c>
      <c r="E6" s="6" t="s">
        <v>61</v>
      </c>
      <c r="F6" s="5" t="n">
        <v>2.5</v>
      </c>
      <c r="G6" s="5" t="n">
        <v>8000</v>
      </c>
      <c r="H6" s="5" t="n">
        <v>5000</v>
      </c>
      <c r="I6" s="6" t="s">
        <v>14</v>
      </c>
    </row>
    <row r="7" customFormat="false" ht="17.15" hidden="false" customHeight="false" outlineLevel="0" collapsed="false">
      <c r="A7" s="5" t="s">
        <v>62</v>
      </c>
      <c r="B7" s="5" t="s">
        <v>11</v>
      </c>
      <c r="C7" s="6" t="s">
        <v>63</v>
      </c>
      <c r="D7" s="6" t="s">
        <v>64</v>
      </c>
      <c r="E7" s="6" t="s">
        <v>61</v>
      </c>
      <c r="F7" s="5" t="n">
        <v>1.5</v>
      </c>
      <c r="G7" s="5" t="n">
        <v>5000</v>
      </c>
      <c r="H7" s="5" t="n">
        <v>3000</v>
      </c>
      <c r="I7" s="6" t="s">
        <v>65</v>
      </c>
    </row>
    <row r="8" customFormat="false" ht="17.15" hidden="false" customHeight="false" outlineLevel="0" collapsed="false">
      <c r="A8" s="5" t="s">
        <v>66</v>
      </c>
      <c r="B8" s="5" t="s">
        <v>15</v>
      </c>
      <c r="C8" s="6" t="s">
        <v>67</v>
      </c>
      <c r="D8" s="6" t="s">
        <v>48</v>
      </c>
      <c r="E8" s="6" t="s">
        <v>49</v>
      </c>
      <c r="F8" s="5" t="n">
        <v>1.5</v>
      </c>
      <c r="G8" s="5" t="n">
        <v>0</v>
      </c>
      <c r="H8" s="5" t="n">
        <v>0</v>
      </c>
      <c r="I8" s="6" t="s">
        <v>53</v>
      </c>
    </row>
    <row r="9" customFormat="false" ht="17.15" hidden="false" customHeight="false" outlineLevel="0" collapsed="false">
      <c r="A9" s="5" t="s">
        <v>68</v>
      </c>
      <c r="B9" s="5" t="s">
        <v>15</v>
      </c>
      <c r="C9" s="6" t="s">
        <v>69</v>
      </c>
      <c r="D9" s="6" t="s">
        <v>70</v>
      </c>
      <c r="E9" s="6" t="s">
        <v>71</v>
      </c>
      <c r="F9" s="5" t="n">
        <v>4</v>
      </c>
      <c r="G9" s="5" t="n">
        <v>28000</v>
      </c>
      <c r="H9" s="5" t="n">
        <v>17000</v>
      </c>
      <c r="I9" s="6" t="s">
        <v>14</v>
      </c>
    </row>
    <row r="10" customFormat="false" ht="17.15" hidden="false" customHeight="false" outlineLevel="0" collapsed="false">
      <c r="A10" s="5" t="s">
        <v>72</v>
      </c>
      <c r="B10" s="5" t="s">
        <v>15</v>
      </c>
      <c r="C10" s="6" t="s">
        <v>73</v>
      </c>
      <c r="D10" s="6" t="s">
        <v>56</v>
      </c>
      <c r="E10" s="6" t="s">
        <v>57</v>
      </c>
      <c r="F10" s="5" t="n">
        <v>2</v>
      </c>
      <c r="G10" s="5" t="n">
        <v>0</v>
      </c>
      <c r="H10" s="5" t="n">
        <v>0</v>
      </c>
      <c r="I10" s="6" t="s">
        <v>74</v>
      </c>
    </row>
    <row r="11" customFormat="false" ht="17.15" hidden="false" customHeight="false" outlineLevel="0" collapsed="false">
      <c r="A11" s="5" t="s">
        <v>75</v>
      </c>
      <c r="B11" s="5" t="s">
        <v>15</v>
      </c>
      <c r="C11" s="6" t="s">
        <v>76</v>
      </c>
      <c r="D11" s="6" t="s">
        <v>60</v>
      </c>
      <c r="E11" s="6" t="s">
        <v>61</v>
      </c>
      <c r="F11" s="5" t="n">
        <v>2.5</v>
      </c>
      <c r="G11" s="5" t="n">
        <v>18000</v>
      </c>
      <c r="H11" s="5" t="n">
        <v>11000</v>
      </c>
      <c r="I11" s="6" t="s">
        <v>53</v>
      </c>
    </row>
    <row r="12" customFormat="false" ht="17.15" hidden="false" customHeight="false" outlineLevel="0" collapsed="false">
      <c r="A12" s="5" t="s">
        <v>77</v>
      </c>
      <c r="B12" s="5" t="s">
        <v>15</v>
      </c>
      <c r="C12" s="6" t="s">
        <v>78</v>
      </c>
      <c r="D12" s="6" t="s">
        <v>52</v>
      </c>
      <c r="E12" s="6" t="s">
        <v>45</v>
      </c>
      <c r="F12" s="5" t="n">
        <v>1</v>
      </c>
      <c r="G12" s="5" t="n">
        <v>5000</v>
      </c>
      <c r="H12" s="5" t="n">
        <v>3000</v>
      </c>
      <c r="I12" s="6" t="s">
        <v>53</v>
      </c>
    </row>
    <row r="13" customFormat="false" ht="17.15" hidden="false" customHeight="false" outlineLevel="0" collapsed="false">
      <c r="A13" s="5" t="s">
        <v>79</v>
      </c>
      <c r="B13" s="5" t="s">
        <v>15</v>
      </c>
      <c r="C13" s="6" t="s">
        <v>80</v>
      </c>
      <c r="D13" s="6" t="s">
        <v>44</v>
      </c>
      <c r="E13" s="6" t="s">
        <v>45</v>
      </c>
      <c r="F13" s="5" t="n">
        <v>1.5</v>
      </c>
      <c r="G13" s="5" t="n">
        <v>0</v>
      </c>
      <c r="H13" s="5" t="n">
        <v>0</v>
      </c>
      <c r="I13" s="6" t="s">
        <v>53</v>
      </c>
    </row>
    <row r="14" customFormat="false" ht="17.15" hidden="false" customHeight="false" outlineLevel="0" collapsed="false">
      <c r="A14" s="5" t="s">
        <v>81</v>
      </c>
      <c r="B14" s="5" t="s">
        <v>17</v>
      </c>
      <c r="C14" s="6" t="s">
        <v>82</v>
      </c>
      <c r="D14" s="6" t="s">
        <v>52</v>
      </c>
      <c r="E14" s="6" t="s">
        <v>83</v>
      </c>
      <c r="F14" s="5" t="n">
        <v>3</v>
      </c>
      <c r="G14" s="5" t="n">
        <v>0</v>
      </c>
      <c r="H14" s="5" t="n">
        <v>0</v>
      </c>
      <c r="I14" s="6" t="s">
        <v>65</v>
      </c>
    </row>
    <row r="15" customFormat="false" ht="17.15" hidden="false" customHeight="false" outlineLevel="0" collapsed="false">
      <c r="A15" s="5" t="s">
        <v>84</v>
      </c>
      <c r="B15" s="5" t="s">
        <v>17</v>
      </c>
      <c r="C15" s="6" t="s">
        <v>85</v>
      </c>
      <c r="D15" s="6" t="s">
        <v>56</v>
      </c>
      <c r="E15" s="6" t="s">
        <v>57</v>
      </c>
      <c r="F15" s="5" t="n">
        <v>2</v>
      </c>
      <c r="G15" s="5" t="n">
        <v>0</v>
      </c>
      <c r="H15" s="5" t="n">
        <v>0</v>
      </c>
      <c r="I15" s="6" t="s">
        <v>14</v>
      </c>
    </row>
    <row r="16" customFormat="false" ht="17.15" hidden="false" customHeight="false" outlineLevel="0" collapsed="false">
      <c r="A16" s="5" t="s">
        <v>86</v>
      </c>
      <c r="B16" s="5" t="s">
        <v>17</v>
      </c>
      <c r="C16" s="6" t="s">
        <v>87</v>
      </c>
      <c r="D16" s="6" t="s">
        <v>48</v>
      </c>
      <c r="E16" s="6" t="s">
        <v>49</v>
      </c>
      <c r="F16" s="5" t="n">
        <v>1.5</v>
      </c>
      <c r="G16" s="5" t="n">
        <v>0</v>
      </c>
      <c r="H16" s="5" t="n">
        <v>0</v>
      </c>
      <c r="I16" s="6" t="s">
        <v>53</v>
      </c>
    </row>
    <row r="17" customFormat="false" ht="17.15" hidden="false" customHeight="false" outlineLevel="0" collapsed="false">
      <c r="A17" s="5" t="s">
        <v>88</v>
      </c>
      <c r="B17" s="5" t="s">
        <v>17</v>
      </c>
      <c r="C17" s="6" t="s">
        <v>89</v>
      </c>
      <c r="D17" s="6" t="s">
        <v>70</v>
      </c>
      <c r="E17" s="6" t="s">
        <v>71</v>
      </c>
      <c r="F17" s="5" t="n">
        <v>4</v>
      </c>
      <c r="G17" s="5" t="n">
        <v>28000</v>
      </c>
      <c r="H17" s="5" t="n">
        <v>17000</v>
      </c>
      <c r="I17" s="6" t="s">
        <v>53</v>
      </c>
    </row>
    <row r="18" customFormat="false" ht="17.15" hidden="false" customHeight="false" outlineLevel="0" collapsed="false">
      <c r="A18" s="5" t="s">
        <v>90</v>
      </c>
      <c r="B18" s="5" t="s">
        <v>17</v>
      </c>
      <c r="C18" s="6" t="s">
        <v>91</v>
      </c>
      <c r="D18" s="6" t="s">
        <v>44</v>
      </c>
      <c r="E18" s="6" t="s">
        <v>45</v>
      </c>
      <c r="F18" s="5" t="n">
        <v>1.5</v>
      </c>
      <c r="G18" s="5" t="n">
        <v>0</v>
      </c>
      <c r="H18" s="5" t="n">
        <v>0</v>
      </c>
      <c r="I18" s="6" t="s">
        <v>14</v>
      </c>
    </row>
    <row r="19" customFormat="false" ht="17.15" hidden="false" customHeight="false" outlineLevel="0" collapsed="false">
      <c r="A19" s="5" t="s">
        <v>92</v>
      </c>
      <c r="B19" s="5" t="s">
        <v>17</v>
      </c>
      <c r="C19" s="6" t="s">
        <v>93</v>
      </c>
      <c r="D19" s="6" t="s">
        <v>52</v>
      </c>
      <c r="E19" s="6" t="s">
        <v>45</v>
      </c>
      <c r="F19" s="5" t="n">
        <v>1</v>
      </c>
      <c r="G19" s="5" t="n">
        <v>7000</v>
      </c>
      <c r="H19" s="5" t="n">
        <v>4000</v>
      </c>
      <c r="I19" s="6" t="s">
        <v>14</v>
      </c>
    </row>
    <row r="20" customFormat="false" ht="17.15" hidden="false" customHeight="false" outlineLevel="0" collapsed="false">
      <c r="A20" s="5" t="s">
        <v>94</v>
      </c>
      <c r="B20" s="5" t="s">
        <v>19</v>
      </c>
      <c r="C20" s="6" t="s">
        <v>95</v>
      </c>
      <c r="D20" s="6" t="s">
        <v>52</v>
      </c>
      <c r="E20" s="6" t="s">
        <v>45</v>
      </c>
      <c r="F20" s="5" t="n">
        <v>1</v>
      </c>
      <c r="G20" s="5" t="n">
        <v>5000</v>
      </c>
      <c r="H20" s="5" t="n">
        <v>3000</v>
      </c>
      <c r="I20" s="6" t="s">
        <v>53</v>
      </c>
    </row>
    <row r="21" customFormat="false" ht="17.15" hidden="false" customHeight="false" outlineLevel="0" collapsed="false">
      <c r="A21" s="5" t="s">
        <v>96</v>
      </c>
      <c r="B21" s="5" t="s">
        <v>19</v>
      </c>
      <c r="C21" s="6" t="s">
        <v>97</v>
      </c>
      <c r="D21" s="6" t="s">
        <v>64</v>
      </c>
      <c r="E21" s="6" t="s">
        <v>61</v>
      </c>
      <c r="F21" s="5" t="n">
        <v>1.5</v>
      </c>
      <c r="G21" s="5" t="n">
        <v>3000</v>
      </c>
      <c r="H21" s="5" t="n">
        <v>2000</v>
      </c>
      <c r="I21" s="6" t="s">
        <v>65</v>
      </c>
    </row>
    <row r="22" customFormat="false" ht="17.15" hidden="false" customHeight="false" outlineLevel="0" collapsed="false">
      <c r="A22" s="5" t="s">
        <v>98</v>
      </c>
      <c r="B22" s="5" t="s">
        <v>19</v>
      </c>
      <c r="C22" s="6" t="s">
        <v>99</v>
      </c>
      <c r="D22" s="6" t="s">
        <v>56</v>
      </c>
      <c r="E22" s="6" t="s">
        <v>57</v>
      </c>
      <c r="F22" s="5" t="n">
        <v>2</v>
      </c>
      <c r="G22" s="5" t="n">
        <v>0</v>
      </c>
      <c r="H22" s="5" t="n">
        <v>0</v>
      </c>
      <c r="I22" s="6" t="s">
        <v>74</v>
      </c>
    </row>
    <row r="23" customFormat="false" ht="17.15" hidden="false" customHeight="false" outlineLevel="0" collapsed="false">
      <c r="A23" s="5" t="s">
        <v>100</v>
      </c>
      <c r="B23" s="5" t="s">
        <v>19</v>
      </c>
      <c r="C23" s="6" t="s">
        <v>101</v>
      </c>
      <c r="D23" s="6" t="s">
        <v>60</v>
      </c>
      <c r="E23" s="6" t="s">
        <v>61</v>
      </c>
      <c r="F23" s="5" t="n">
        <v>2.5</v>
      </c>
      <c r="G23" s="5" t="n">
        <v>16000</v>
      </c>
      <c r="H23" s="5" t="n">
        <v>9500</v>
      </c>
      <c r="I23" s="6" t="s">
        <v>65</v>
      </c>
    </row>
    <row r="24" customFormat="false" ht="17.15" hidden="false" customHeight="false" outlineLevel="0" collapsed="false">
      <c r="A24" s="5" t="s">
        <v>102</v>
      </c>
      <c r="B24" s="5" t="s">
        <v>19</v>
      </c>
      <c r="C24" s="6" t="s">
        <v>103</v>
      </c>
      <c r="D24" s="6" t="s">
        <v>44</v>
      </c>
      <c r="E24" s="6" t="s">
        <v>45</v>
      </c>
      <c r="F24" s="5" t="n">
        <v>1.5</v>
      </c>
      <c r="G24" s="5" t="n">
        <v>0</v>
      </c>
      <c r="H24" s="5" t="n">
        <v>0</v>
      </c>
      <c r="I24" s="6" t="s">
        <v>14</v>
      </c>
    </row>
    <row r="25" customFormat="false" ht="17.15" hidden="false" customHeight="false" outlineLevel="0" collapsed="false">
      <c r="A25" s="5" t="s">
        <v>104</v>
      </c>
      <c r="B25" s="5" t="s">
        <v>19</v>
      </c>
      <c r="C25" s="6" t="s">
        <v>105</v>
      </c>
      <c r="D25" s="6" t="s">
        <v>52</v>
      </c>
      <c r="E25" s="6" t="s">
        <v>83</v>
      </c>
      <c r="F25" s="5" t="n">
        <v>3</v>
      </c>
      <c r="G25" s="5" t="n">
        <v>0</v>
      </c>
      <c r="H25" s="5" t="n">
        <v>0</v>
      </c>
      <c r="I25" s="6" t="s">
        <v>65</v>
      </c>
    </row>
    <row r="26" customFormat="false" ht="17.15" hidden="false" customHeight="false" outlineLevel="0" collapsed="false">
      <c r="A26" s="5" t="s">
        <v>106</v>
      </c>
      <c r="B26" s="5" t="s">
        <v>22</v>
      </c>
      <c r="C26" s="6" t="s">
        <v>107</v>
      </c>
      <c r="D26" s="6" t="s">
        <v>70</v>
      </c>
      <c r="E26" s="6" t="s">
        <v>71</v>
      </c>
      <c r="F26" s="5" t="n">
        <v>4</v>
      </c>
      <c r="G26" s="5" t="n">
        <v>32000</v>
      </c>
      <c r="H26" s="5" t="n">
        <v>19000</v>
      </c>
      <c r="I26" s="6" t="s">
        <v>14</v>
      </c>
    </row>
    <row r="27" customFormat="false" ht="17.15" hidden="false" customHeight="false" outlineLevel="0" collapsed="false">
      <c r="A27" s="5" t="s">
        <v>108</v>
      </c>
      <c r="B27" s="5" t="s">
        <v>22</v>
      </c>
      <c r="C27" s="6" t="s">
        <v>109</v>
      </c>
      <c r="D27" s="6" t="s">
        <v>64</v>
      </c>
      <c r="E27" s="6" t="s">
        <v>61</v>
      </c>
      <c r="F27" s="5" t="n">
        <v>1.5</v>
      </c>
      <c r="G27" s="5" t="n">
        <v>6000</v>
      </c>
      <c r="H27" s="5" t="n">
        <v>3500</v>
      </c>
      <c r="I27" s="6" t="s">
        <v>14</v>
      </c>
    </row>
    <row r="28" customFormat="false" ht="17.15" hidden="false" customHeight="false" outlineLevel="0" collapsed="false">
      <c r="A28" s="5" t="s">
        <v>110</v>
      </c>
      <c r="B28" s="5" t="s">
        <v>22</v>
      </c>
      <c r="C28" s="6" t="s">
        <v>111</v>
      </c>
      <c r="D28" s="6" t="s">
        <v>52</v>
      </c>
      <c r="E28" s="6" t="s">
        <v>83</v>
      </c>
      <c r="F28" s="5" t="n">
        <v>3</v>
      </c>
      <c r="G28" s="5" t="n">
        <v>0</v>
      </c>
      <c r="H28" s="5" t="n">
        <v>0</v>
      </c>
      <c r="I28" s="6" t="s">
        <v>53</v>
      </c>
    </row>
    <row r="29" customFormat="false" ht="17.15" hidden="false" customHeight="false" outlineLevel="0" collapsed="false">
      <c r="A29" s="5" t="s">
        <v>112</v>
      </c>
      <c r="B29" s="5" t="s">
        <v>22</v>
      </c>
      <c r="C29" s="6" t="s">
        <v>113</v>
      </c>
      <c r="D29" s="6" t="s">
        <v>48</v>
      </c>
      <c r="E29" s="6" t="s">
        <v>49</v>
      </c>
      <c r="F29" s="5" t="n">
        <v>1.5</v>
      </c>
      <c r="G29" s="5" t="n">
        <v>0</v>
      </c>
      <c r="H29" s="5" t="n">
        <v>0</v>
      </c>
      <c r="I29" s="6" t="s">
        <v>65</v>
      </c>
    </row>
    <row r="30" customFormat="false" ht="17.15" hidden="false" customHeight="false" outlineLevel="0" collapsed="false">
      <c r="A30" s="5" t="s">
        <v>114</v>
      </c>
      <c r="B30" s="5" t="s">
        <v>22</v>
      </c>
      <c r="C30" s="6" t="s">
        <v>115</v>
      </c>
      <c r="D30" s="6" t="s">
        <v>60</v>
      </c>
      <c r="E30" s="6" t="s">
        <v>61</v>
      </c>
      <c r="F30" s="5" t="n">
        <v>2.5</v>
      </c>
      <c r="G30" s="5" t="n">
        <v>13000</v>
      </c>
      <c r="H30" s="5" t="n">
        <v>8000</v>
      </c>
      <c r="I30" s="6" t="s">
        <v>74</v>
      </c>
    </row>
    <row r="31" customFormat="false" ht="17.15" hidden="false" customHeight="false" outlineLevel="0" collapsed="false">
      <c r="A31" s="5" t="s">
        <v>116</v>
      </c>
      <c r="B31" s="5" t="s">
        <v>22</v>
      </c>
      <c r="C31" s="6" t="s">
        <v>117</v>
      </c>
      <c r="D31" s="6" t="s">
        <v>44</v>
      </c>
      <c r="E31" s="6" t="s">
        <v>45</v>
      </c>
      <c r="F31" s="5" t="n">
        <v>1.5</v>
      </c>
      <c r="G31" s="5" t="n">
        <v>0</v>
      </c>
      <c r="H31" s="5" t="n">
        <v>0</v>
      </c>
      <c r="I31" s="6" t="s">
        <v>65</v>
      </c>
    </row>
    <row r="32" customFormat="false" ht="17.15" hidden="false" customHeight="false" outlineLevel="0" collapsed="false">
      <c r="A32" s="5" t="s">
        <v>118</v>
      </c>
      <c r="B32" s="5" t="s">
        <v>25</v>
      </c>
      <c r="C32" s="6" t="s">
        <v>119</v>
      </c>
      <c r="D32" s="6" t="s">
        <v>60</v>
      </c>
      <c r="E32" s="6" t="s">
        <v>61</v>
      </c>
      <c r="F32" s="5" t="n">
        <v>2.5</v>
      </c>
      <c r="G32" s="5" t="n">
        <v>20000</v>
      </c>
      <c r="H32" s="5" t="n">
        <v>12000</v>
      </c>
      <c r="I32" s="6" t="s">
        <v>14</v>
      </c>
    </row>
    <row r="33" customFormat="false" ht="17.15" hidden="false" customHeight="false" outlineLevel="0" collapsed="false">
      <c r="A33" s="5" t="s">
        <v>120</v>
      </c>
      <c r="B33" s="5" t="s">
        <v>25</v>
      </c>
      <c r="C33" s="6" t="s">
        <v>121</v>
      </c>
      <c r="D33" s="6" t="s">
        <v>70</v>
      </c>
      <c r="E33" s="6" t="s">
        <v>71</v>
      </c>
      <c r="F33" s="5" t="n">
        <v>4</v>
      </c>
      <c r="G33" s="5" t="n">
        <v>29000</v>
      </c>
      <c r="H33" s="5" t="n">
        <v>17500</v>
      </c>
      <c r="I33" s="6" t="s">
        <v>65</v>
      </c>
    </row>
    <row r="34" customFormat="false" ht="17.15" hidden="false" customHeight="false" outlineLevel="0" collapsed="false">
      <c r="A34" s="5" t="s">
        <v>122</v>
      </c>
      <c r="B34" s="5" t="s">
        <v>25</v>
      </c>
      <c r="C34" s="6" t="s">
        <v>123</v>
      </c>
      <c r="D34" s="6" t="s">
        <v>56</v>
      </c>
      <c r="E34" s="6" t="s">
        <v>57</v>
      </c>
      <c r="F34" s="5" t="n">
        <v>2</v>
      </c>
      <c r="G34" s="5" t="n">
        <v>0</v>
      </c>
      <c r="H34" s="5" t="n">
        <v>0</v>
      </c>
      <c r="I34" s="6" t="s">
        <v>65</v>
      </c>
    </row>
    <row r="35" customFormat="false" ht="17.15" hidden="false" customHeight="false" outlineLevel="0" collapsed="false">
      <c r="A35" s="5" t="s">
        <v>124</v>
      </c>
      <c r="B35" s="5" t="s">
        <v>25</v>
      </c>
      <c r="C35" s="6" t="s">
        <v>125</v>
      </c>
      <c r="D35" s="6" t="s">
        <v>44</v>
      </c>
      <c r="E35" s="6" t="s">
        <v>45</v>
      </c>
      <c r="F35" s="5" t="n">
        <v>1.5</v>
      </c>
      <c r="G35" s="5" t="n">
        <v>0</v>
      </c>
      <c r="H35" s="5" t="n">
        <v>0</v>
      </c>
      <c r="I35" s="6" t="s">
        <v>14</v>
      </c>
    </row>
    <row r="36" customFormat="false" ht="17.15" hidden="false" customHeight="false" outlineLevel="0" collapsed="false">
      <c r="A36" s="5" t="s">
        <v>126</v>
      </c>
      <c r="B36" s="5" t="s">
        <v>25</v>
      </c>
      <c r="C36" s="6" t="s">
        <v>127</v>
      </c>
      <c r="D36" s="6" t="s">
        <v>52</v>
      </c>
      <c r="E36" s="6" t="s">
        <v>45</v>
      </c>
      <c r="F36" s="5" t="n">
        <v>1</v>
      </c>
      <c r="G36" s="5" t="n">
        <v>6000</v>
      </c>
      <c r="H36" s="5" t="n">
        <v>3500</v>
      </c>
      <c r="I36" s="6" t="s">
        <v>53</v>
      </c>
    </row>
    <row r="37" customFormat="false" ht="17.15" hidden="false" customHeight="false" outlineLevel="0" collapsed="false">
      <c r="A37" s="5" t="s">
        <v>128</v>
      </c>
      <c r="B37" s="5" t="s">
        <v>25</v>
      </c>
      <c r="C37" s="6" t="s">
        <v>129</v>
      </c>
      <c r="D37" s="6" t="s">
        <v>52</v>
      </c>
      <c r="E37" s="6" t="s">
        <v>83</v>
      </c>
      <c r="F37" s="5" t="n">
        <v>3</v>
      </c>
      <c r="G37" s="5" t="n">
        <v>0</v>
      </c>
      <c r="H37" s="5" t="n">
        <v>0</v>
      </c>
      <c r="I37" s="6" t="s">
        <v>53</v>
      </c>
    </row>
    <row r="38" customFormat="false" ht="17.15" hidden="false" customHeight="false" outlineLevel="0" collapsed="false">
      <c r="A38" s="5" t="s">
        <v>130</v>
      </c>
      <c r="B38" s="5" t="s">
        <v>28</v>
      </c>
      <c r="C38" s="6" t="s">
        <v>131</v>
      </c>
      <c r="D38" s="6" t="s">
        <v>44</v>
      </c>
      <c r="E38" s="6" t="s">
        <v>45</v>
      </c>
      <c r="F38" s="5" t="n">
        <v>1.5</v>
      </c>
      <c r="G38" s="5" t="n">
        <v>0</v>
      </c>
      <c r="H38" s="5" t="n">
        <v>0</v>
      </c>
      <c r="I38" s="6" t="s">
        <v>65</v>
      </c>
    </row>
    <row r="39" customFormat="false" ht="17.15" hidden="false" customHeight="false" outlineLevel="0" collapsed="false">
      <c r="A39" s="5" t="s">
        <v>132</v>
      </c>
      <c r="B39" s="5" t="s">
        <v>28</v>
      </c>
      <c r="C39" s="6" t="s">
        <v>133</v>
      </c>
      <c r="D39" s="6" t="s">
        <v>64</v>
      </c>
      <c r="E39" s="6" t="s">
        <v>61</v>
      </c>
      <c r="F39" s="5" t="n">
        <v>1.5</v>
      </c>
      <c r="G39" s="5" t="n">
        <v>2000</v>
      </c>
      <c r="H39" s="5" t="n">
        <v>1000</v>
      </c>
      <c r="I39" s="6" t="s">
        <v>14</v>
      </c>
    </row>
    <row r="40" customFormat="false" ht="17.15" hidden="false" customHeight="false" outlineLevel="0" collapsed="false">
      <c r="A40" s="5" t="s">
        <v>134</v>
      </c>
      <c r="B40" s="5" t="s">
        <v>28</v>
      </c>
      <c r="C40" s="6" t="s">
        <v>135</v>
      </c>
      <c r="D40" s="6" t="s">
        <v>70</v>
      </c>
      <c r="E40" s="6" t="s">
        <v>71</v>
      </c>
      <c r="F40" s="5" t="n">
        <v>4</v>
      </c>
      <c r="G40" s="5" t="n">
        <v>33000</v>
      </c>
      <c r="H40" s="5" t="n">
        <v>20000</v>
      </c>
      <c r="I40" s="6" t="s">
        <v>65</v>
      </c>
    </row>
    <row r="41" customFormat="false" ht="17.15" hidden="false" customHeight="false" outlineLevel="0" collapsed="false">
      <c r="A41" s="5" t="s">
        <v>136</v>
      </c>
      <c r="B41" s="5" t="s">
        <v>28</v>
      </c>
      <c r="C41" s="6" t="s">
        <v>137</v>
      </c>
      <c r="D41" s="6" t="s">
        <v>52</v>
      </c>
      <c r="E41" s="6" t="s">
        <v>83</v>
      </c>
      <c r="F41" s="5" t="n">
        <v>3</v>
      </c>
      <c r="G41" s="5" t="n">
        <v>0</v>
      </c>
      <c r="H41" s="5" t="n">
        <v>0</v>
      </c>
      <c r="I41" s="6" t="s">
        <v>74</v>
      </c>
    </row>
    <row r="42" customFormat="false" ht="17.15" hidden="false" customHeight="false" outlineLevel="0" collapsed="false">
      <c r="A42" s="5" t="s">
        <v>138</v>
      </c>
      <c r="B42" s="5" t="s">
        <v>28</v>
      </c>
      <c r="C42" s="6" t="s">
        <v>139</v>
      </c>
      <c r="D42" s="6" t="s">
        <v>52</v>
      </c>
      <c r="E42" s="6" t="s">
        <v>45</v>
      </c>
      <c r="F42" s="5" t="n">
        <v>1</v>
      </c>
      <c r="G42" s="5" t="n">
        <v>6000</v>
      </c>
      <c r="H42" s="5" t="n">
        <v>3500</v>
      </c>
      <c r="I42" s="6" t="s">
        <v>14</v>
      </c>
    </row>
    <row r="43" customFormat="false" ht="17.15" hidden="false" customHeight="false" outlineLevel="0" collapsed="false">
      <c r="A43" s="5" t="s">
        <v>140</v>
      </c>
      <c r="B43" s="5" t="s">
        <v>28</v>
      </c>
      <c r="C43" s="6" t="s">
        <v>141</v>
      </c>
      <c r="D43" s="6" t="s">
        <v>60</v>
      </c>
      <c r="E43" s="6" t="s">
        <v>61</v>
      </c>
      <c r="F43" s="5" t="n">
        <v>2.5</v>
      </c>
      <c r="G43" s="5" t="n">
        <v>19000</v>
      </c>
      <c r="H43" s="5" t="n">
        <v>11500</v>
      </c>
      <c r="I43" s="6" t="s">
        <v>74</v>
      </c>
    </row>
    <row r="44" customFormat="false" ht="17.15" hidden="false" customHeight="false" outlineLevel="0" collapsed="false">
      <c r="A44" s="5" t="s">
        <v>142</v>
      </c>
      <c r="B44" s="5" t="s">
        <v>31</v>
      </c>
      <c r="C44" s="6" t="s">
        <v>143</v>
      </c>
      <c r="D44" s="6" t="s">
        <v>60</v>
      </c>
      <c r="E44" s="6" t="s">
        <v>61</v>
      </c>
      <c r="F44" s="5" t="n">
        <v>2.5</v>
      </c>
      <c r="G44" s="5" t="n">
        <v>14000</v>
      </c>
      <c r="H44" s="5" t="n">
        <v>8500</v>
      </c>
      <c r="I44" s="6" t="s">
        <v>74</v>
      </c>
    </row>
    <row r="45" customFormat="false" ht="17.15" hidden="false" customHeight="false" outlineLevel="0" collapsed="false">
      <c r="A45" s="5" t="s">
        <v>144</v>
      </c>
      <c r="B45" s="5" t="s">
        <v>31</v>
      </c>
      <c r="C45" s="6" t="s">
        <v>145</v>
      </c>
      <c r="D45" s="6" t="s">
        <v>44</v>
      </c>
      <c r="E45" s="6" t="s">
        <v>45</v>
      </c>
      <c r="F45" s="5" t="n">
        <v>1.5</v>
      </c>
      <c r="G45" s="5" t="n">
        <v>0</v>
      </c>
      <c r="H45" s="5" t="n">
        <v>0</v>
      </c>
      <c r="I45" s="6" t="s">
        <v>14</v>
      </c>
    </row>
    <row r="46" customFormat="false" ht="17.15" hidden="false" customHeight="false" outlineLevel="0" collapsed="false">
      <c r="A46" s="5" t="s">
        <v>146</v>
      </c>
      <c r="B46" s="5" t="s">
        <v>31</v>
      </c>
      <c r="C46" s="6" t="s">
        <v>147</v>
      </c>
      <c r="D46" s="6" t="s">
        <v>70</v>
      </c>
      <c r="E46" s="6" t="s">
        <v>71</v>
      </c>
      <c r="F46" s="5" t="n">
        <v>4</v>
      </c>
      <c r="G46" s="5" t="n">
        <v>25000</v>
      </c>
      <c r="H46" s="5" t="n">
        <v>15000</v>
      </c>
      <c r="I46" s="6" t="s">
        <v>65</v>
      </c>
    </row>
    <row r="47" customFormat="false" ht="17.15" hidden="false" customHeight="false" outlineLevel="0" collapsed="false">
      <c r="A47" s="5" t="s">
        <v>148</v>
      </c>
      <c r="B47" s="5" t="s">
        <v>31</v>
      </c>
      <c r="C47" s="6" t="s">
        <v>149</v>
      </c>
      <c r="D47" s="6" t="s">
        <v>52</v>
      </c>
      <c r="E47" s="6" t="s">
        <v>45</v>
      </c>
      <c r="F47" s="5" t="n">
        <v>1</v>
      </c>
      <c r="G47" s="5" t="n">
        <v>10000</v>
      </c>
      <c r="H47" s="5" t="n">
        <v>6000</v>
      </c>
      <c r="I47" s="6" t="s">
        <v>14</v>
      </c>
    </row>
    <row r="48" customFormat="false" ht="17.15" hidden="false" customHeight="false" outlineLevel="0" collapsed="false">
      <c r="A48" s="5" t="s">
        <v>150</v>
      </c>
      <c r="B48" s="5" t="s">
        <v>31</v>
      </c>
      <c r="C48" s="6" t="s">
        <v>151</v>
      </c>
      <c r="D48" s="6" t="s">
        <v>64</v>
      </c>
      <c r="E48" s="6" t="s">
        <v>61</v>
      </c>
      <c r="F48" s="5" t="n">
        <v>1.5</v>
      </c>
      <c r="G48" s="5" t="n">
        <v>6000</v>
      </c>
      <c r="H48" s="5" t="n">
        <v>3500</v>
      </c>
      <c r="I48" s="6" t="s">
        <v>14</v>
      </c>
    </row>
    <row r="49" customFormat="false" ht="17.15" hidden="false" customHeight="false" outlineLevel="0" collapsed="false">
      <c r="A49" s="5" t="s">
        <v>152</v>
      </c>
      <c r="B49" s="5" t="s">
        <v>31</v>
      </c>
      <c r="C49" s="6" t="s">
        <v>153</v>
      </c>
      <c r="D49" s="6" t="s">
        <v>52</v>
      </c>
      <c r="E49" s="6" t="s">
        <v>83</v>
      </c>
      <c r="F49" s="5" t="n">
        <v>3</v>
      </c>
      <c r="G49" s="5" t="n">
        <v>0</v>
      </c>
      <c r="H49" s="5" t="n">
        <v>0</v>
      </c>
      <c r="I49" s="6" t="s">
        <v>65</v>
      </c>
    </row>
  </sheetData>
  <autoFilter ref="A1:I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32.8" hidden="false" customHeight="false" outlineLevel="0" collapsed="false">
      <c r="A1" s="4" t="s">
        <v>154</v>
      </c>
      <c r="B1" s="4" t="s">
        <v>7</v>
      </c>
      <c r="C1" s="4" t="s">
        <v>155</v>
      </c>
      <c r="D1" s="4" t="s">
        <v>156</v>
      </c>
      <c r="E1" s="4" t="s">
        <v>157</v>
      </c>
      <c r="F1" s="7" t="s">
        <v>158</v>
      </c>
      <c r="G1" s="4" t="s">
        <v>159</v>
      </c>
      <c r="H1" s="4" t="s">
        <v>37</v>
      </c>
    </row>
    <row r="2" customFormat="false" ht="17.15" hidden="false" customHeight="false" outlineLevel="0" collapsed="false">
      <c r="A2" s="5" t="s">
        <v>160</v>
      </c>
      <c r="B2" s="5" t="s">
        <v>11</v>
      </c>
      <c r="C2" s="6" t="s">
        <v>161</v>
      </c>
      <c r="D2" s="6" t="s">
        <v>162</v>
      </c>
      <c r="E2" s="5" t="n">
        <v>2</v>
      </c>
      <c r="F2" s="8" t="n">
        <v>130000</v>
      </c>
      <c r="G2" s="9" t="n">
        <v>0.3</v>
      </c>
      <c r="H2" s="6" t="s">
        <v>45</v>
      </c>
    </row>
    <row r="3" customFormat="false" ht="17.15" hidden="false" customHeight="false" outlineLevel="0" collapsed="false">
      <c r="A3" s="5" t="s">
        <v>163</v>
      </c>
      <c r="B3" s="5" t="s">
        <v>11</v>
      </c>
      <c r="C3" s="6" t="s">
        <v>164</v>
      </c>
      <c r="D3" s="6" t="s">
        <v>165</v>
      </c>
      <c r="E3" s="5" t="n">
        <v>2</v>
      </c>
      <c r="F3" s="8" t="n">
        <v>60000</v>
      </c>
      <c r="G3" s="9" t="n">
        <v>0.2</v>
      </c>
      <c r="H3" s="6" t="s">
        <v>45</v>
      </c>
    </row>
    <row r="4" customFormat="false" ht="17.15" hidden="false" customHeight="false" outlineLevel="0" collapsed="false">
      <c r="A4" s="5" t="s">
        <v>166</v>
      </c>
      <c r="B4" s="5" t="s">
        <v>11</v>
      </c>
      <c r="C4" s="6" t="s">
        <v>167</v>
      </c>
      <c r="D4" s="6" t="s">
        <v>168</v>
      </c>
      <c r="E4" s="5" t="n">
        <v>4</v>
      </c>
      <c r="F4" s="8" t="n">
        <v>220000</v>
      </c>
      <c r="G4" s="9" t="n">
        <v>0.4</v>
      </c>
      <c r="H4" s="6" t="s">
        <v>169</v>
      </c>
    </row>
    <row r="5" customFormat="false" ht="17.15" hidden="false" customHeight="false" outlineLevel="0" collapsed="false">
      <c r="A5" s="5" t="s">
        <v>170</v>
      </c>
      <c r="B5" s="5" t="s">
        <v>15</v>
      </c>
      <c r="C5" s="6" t="s">
        <v>171</v>
      </c>
      <c r="D5" s="6" t="s">
        <v>165</v>
      </c>
      <c r="E5" s="5" t="n">
        <v>2</v>
      </c>
      <c r="F5" s="8" t="n">
        <v>60000</v>
      </c>
      <c r="G5" s="9" t="n">
        <v>0.2</v>
      </c>
      <c r="H5" s="6" t="s">
        <v>45</v>
      </c>
    </row>
    <row r="6" customFormat="false" ht="17.15" hidden="false" customHeight="false" outlineLevel="0" collapsed="false">
      <c r="A6" s="5" t="s">
        <v>172</v>
      </c>
      <c r="B6" s="5" t="s">
        <v>15</v>
      </c>
      <c r="C6" s="6" t="s">
        <v>173</v>
      </c>
      <c r="D6" s="6" t="s">
        <v>168</v>
      </c>
      <c r="E6" s="5" t="n">
        <v>4</v>
      </c>
      <c r="F6" s="8" t="n">
        <v>230000</v>
      </c>
      <c r="G6" s="9" t="n">
        <v>0.4</v>
      </c>
      <c r="H6" s="6" t="s">
        <v>169</v>
      </c>
    </row>
    <row r="7" customFormat="false" ht="17.15" hidden="false" customHeight="false" outlineLevel="0" collapsed="false">
      <c r="A7" s="5" t="s">
        <v>174</v>
      </c>
      <c r="B7" s="5" t="s">
        <v>15</v>
      </c>
      <c r="C7" s="6" t="s">
        <v>175</v>
      </c>
      <c r="D7" s="6" t="s">
        <v>162</v>
      </c>
      <c r="E7" s="5" t="n">
        <v>2</v>
      </c>
      <c r="F7" s="8" t="n">
        <v>170000</v>
      </c>
      <c r="G7" s="9" t="n">
        <v>0.3</v>
      </c>
      <c r="H7" s="6" t="s">
        <v>45</v>
      </c>
    </row>
    <row r="8" customFormat="false" ht="17.15" hidden="false" customHeight="false" outlineLevel="0" collapsed="false">
      <c r="A8" s="5" t="s">
        <v>176</v>
      </c>
      <c r="B8" s="5" t="s">
        <v>17</v>
      </c>
      <c r="C8" s="6" t="s">
        <v>177</v>
      </c>
      <c r="D8" s="6" t="s">
        <v>178</v>
      </c>
      <c r="E8" s="5" t="n">
        <v>6</v>
      </c>
      <c r="F8" s="8" t="n">
        <v>200000</v>
      </c>
      <c r="G8" s="9" t="n">
        <v>0.5</v>
      </c>
      <c r="H8" s="6" t="s">
        <v>169</v>
      </c>
    </row>
    <row r="9" customFormat="false" ht="17.15" hidden="false" customHeight="false" outlineLevel="0" collapsed="false">
      <c r="A9" s="5" t="s">
        <v>179</v>
      </c>
      <c r="B9" s="5" t="s">
        <v>17</v>
      </c>
      <c r="C9" s="6" t="s">
        <v>180</v>
      </c>
      <c r="D9" s="6" t="s">
        <v>162</v>
      </c>
      <c r="E9" s="5" t="n">
        <v>2</v>
      </c>
      <c r="F9" s="8" t="n">
        <v>150000</v>
      </c>
      <c r="G9" s="9" t="n">
        <v>0.3</v>
      </c>
      <c r="H9" s="6" t="s">
        <v>45</v>
      </c>
    </row>
    <row r="10" customFormat="false" ht="17.15" hidden="false" customHeight="false" outlineLevel="0" collapsed="false">
      <c r="A10" s="5" t="s">
        <v>181</v>
      </c>
      <c r="B10" s="5" t="s">
        <v>17</v>
      </c>
      <c r="C10" s="6" t="s">
        <v>182</v>
      </c>
      <c r="D10" s="6" t="s">
        <v>168</v>
      </c>
      <c r="E10" s="5" t="n">
        <v>4</v>
      </c>
      <c r="F10" s="8" t="n">
        <v>220000</v>
      </c>
      <c r="G10" s="9" t="n">
        <v>0.4</v>
      </c>
      <c r="H10" s="6" t="s">
        <v>169</v>
      </c>
    </row>
    <row r="11" customFormat="false" ht="17.15" hidden="false" customHeight="false" outlineLevel="0" collapsed="false">
      <c r="A11" s="5" t="s">
        <v>183</v>
      </c>
      <c r="B11" s="5" t="s">
        <v>19</v>
      </c>
      <c r="C11" s="6" t="s">
        <v>184</v>
      </c>
      <c r="D11" s="6" t="s">
        <v>178</v>
      </c>
      <c r="E11" s="5" t="n">
        <v>6</v>
      </c>
      <c r="F11" s="8" t="n">
        <v>150000</v>
      </c>
      <c r="G11" s="9" t="n">
        <v>0.5</v>
      </c>
      <c r="H11" s="6" t="s">
        <v>169</v>
      </c>
    </row>
    <row r="12" customFormat="false" ht="17.15" hidden="false" customHeight="false" outlineLevel="0" collapsed="false">
      <c r="A12" s="5" t="s">
        <v>185</v>
      </c>
      <c r="B12" s="5" t="s">
        <v>19</v>
      </c>
      <c r="C12" s="6" t="s">
        <v>186</v>
      </c>
      <c r="D12" s="6" t="s">
        <v>165</v>
      </c>
      <c r="E12" s="5" t="n">
        <v>2</v>
      </c>
      <c r="F12" s="8" t="n">
        <v>60000</v>
      </c>
      <c r="G12" s="9" t="n">
        <v>0.2</v>
      </c>
      <c r="H12" s="6" t="s">
        <v>45</v>
      </c>
    </row>
    <row r="13" customFormat="false" ht="17.15" hidden="false" customHeight="false" outlineLevel="0" collapsed="false">
      <c r="A13" s="5" t="s">
        <v>187</v>
      </c>
      <c r="B13" s="5" t="s">
        <v>19</v>
      </c>
      <c r="C13" s="6" t="s">
        <v>188</v>
      </c>
      <c r="D13" s="6" t="s">
        <v>168</v>
      </c>
      <c r="E13" s="5" t="n">
        <v>4</v>
      </c>
      <c r="F13" s="8" t="n">
        <v>170000</v>
      </c>
      <c r="G13" s="9" t="n">
        <v>0.4</v>
      </c>
      <c r="H13" s="6" t="s">
        <v>169</v>
      </c>
    </row>
    <row r="14" customFormat="false" ht="17.15" hidden="false" customHeight="false" outlineLevel="0" collapsed="false">
      <c r="A14" s="5" t="s">
        <v>189</v>
      </c>
      <c r="B14" s="5" t="s">
        <v>22</v>
      </c>
      <c r="C14" s="6" t="s">
        <v>190</v>
      </c>
      <c r="D14" s="6" t="s">
        <v>168</v>
      </c>
      <c r="E14" s="5" t="n">
        <v>4</v>
      </c>
      <c r="F14" s="8" t="n">
        <v>260000</v>
      </c>
      <c r="G14" s="9" t="n">
        <v>0.4</v>
      </c>
      <c r="H14" s="6" t="s">
        <v>169</v>
      </c>
    </row>
    <row r="15" customFormat="false" ht="17.15" hidden="false" customHeight="false" outlineLevel="0" collapsed="false">
      <c r="A15" s="5" t="s">
        <v>191</v>
      </c>
      <c r="B15" s="5" t="s">
        <v>22</v>
      </c>
      <c r="C15" s="6" t="s">
        <v>192</v>
      </c>
      <c r="D15" s="6" t="s">
        <v>162</v>
      </c>
      <c r="E15" s="5" t="n">
        <v>2</v>
      </c>
      <c r="F15" s="8" t="n">
        <v>140000</v>
      </c>
      <c r="G15" s="9" t="n">
        <v>0.3</v>
      </c>
      <c r="H15" s="6" t="s">
        <v>45</v>
      </c>
    </row>
    <row r="16" customFormat="false" ht="17.15" hidden="false" customHeight="false" outlineLevel="0" collapsed="false">
      <c r="A16" s="5" t="s">
        <v>193</v>
      </c>
      <c r="B16" s="5" t="s">
        <v>22</v>
      </c>
      <c r="C16" s="6" t="s">
        <v>194</v>
      </c>
      <c r="D16" s="6" t="s">
        <v>178</v>
      </c>
      <c r="E16" s="5" t="n">
        <v>6</v>
      </c>
      <c r="F16" s="8" t="n">
        <v>120000</v>
      </c>
      <c r="G16" s="9" t="n">
        <v>0.5</v>
      </c>
      <c r="H16" s="6" t="s">
        <v>169</v>
      </c>
    </row>
    <row r="17" customFormat="false" ht="17.15" hidden="false" customHeight="false" outlineLevel="0" collapsed="false">
      <c r="A17" s="5" t="s">
        <v>195</v>
      </c>
      <c r="B17" s="5" t="s">
        <v>25</v>
      </c>
      <c r="C17" s="6" t="s">
        <v>196</v>
      </c>
      <c r="D17" s="6" t="s">
        <v>165</v>
      </c>
      <c r="E17" s="5" t="n">
        <v>2</v>
      </c>
      <c r="F17" s="8" t="n">
        <v>70000</v>
      </c>
      <c r="G17" s="9" t="n">
        <v>0.2</v>
      </c>
      <c r="H17" s="6" t="s">
        <v>45</v>
      </c>
    </row>
    <row r="18" customFormat="false" ht="17.15" hidden="false" customHeight="false" outlineLevel="0" collapsed="false">
      <c r="A18" s="5" t="s">
        <v>197</v>
      </c>
      <c r="B18" s="5" t="s">
        <v>25</v>
      </c>
      <c r="C18" s="6" t="s">
        <v>198</v>
      </c>
      <c r="D18" s="6" t="s">
        <v>178</v>
      </c>
      <c r="E18" s="5" t="n">
        <v>6</v>
      </c>
      <c r="F18" s="8" t="n">
        <v>160000</v>
      </c>
      <c r="G18" s="9" t="n">
        <v>0.5</v>
      </c>
      <c r="H18" s="6" t="s">
        <v>169</v>
      </c>
    </row>
    <row r="19" customFormat="false" ht="17.15" hidden="false" customHeight="false" outlineLevel="0" collapsed="false">
      <c r="A19" s="5" t="s">
        <v>199</v>
      </c>
      <c r="B19" s="5" t="s">
        <v>25</v>
      </c>
      <c r="C19" s="6" t="s">
        <v>200</v>
      </c>
      <c r="D19" s="6" t="s">
        <v>162</v>
      </c>
      <c r="E19" s="5" t="n">
        <v>2</v>
      </c>
      <c r="F19" s="8" t="n">
        <v>110000</v>
      </c>
      <c r="G19" s="9" t="n">
        <v>0.3</v>
      </c>
      <c r="H19" s="6" t="s">
        <v>45</v>
      </c>
    </row>
    <row r="20" customFormat="false" ht="17.15" hidden="false" customHeight="false" outlineLevel="0" collapsed="false">
      <c r="A20" s="5" t="s">
        <v>201</v>
      </c>
      <c r="B20" s="5" t="s">
        <v>28</v>
      </c>
      <c r="C20" s="6" t="s">
        <v>202</v>
      </c>
      <c r="D20" s="6" t="s">
        <v>168</v>
      </c>
      <c r="E20" s="5" t="n">
        <v>4</v>
      </c>
      <c r="F20" s="8" t="n">
        <v>250000</v>
      </c>
      <c r="G20" s="9" t="n">
        <v>0.4</v>
      </c>
      <c r="H20" s="6" t="s">
        <v>169</v>
      </c>
    </row>
    <row r="21" customFormat="false" ht="17.15" hidden="false" customHeight="false" outlineLevel="0" collapsed="false">
      <c r="A21" s="5" t="s">
        <v>203</v>
      </c>
      <c r="B21" s="5" t="s">
        <v>28</v>
      </c>
      <c r="C21" s="6" t="s">
        <v>204</v>
      </c>
      <c r="D21" s="6" t="s">
        <v>165</v>
      </c>
      <c r="E21" s="5" t="n">
        <v>2</v>
      </c>
      <c r="F21" s="8" t="n">
        <v>70000</v>
      </c>
      <c r="G21" s="9" t="n">
        <v>0.2</v>
      </c>
      <c r="H21" s="6" t="s">
        <v>45</v>
      </c>
    </row>
    <row r="22" customFormat="false" ht="17.15" hidden="false" customHeight="false" outlineLevel="0" collapsed="false">
      <c r="A22" s="5" t="s">
        <v>205</v>
      </c>
      <c r="B22" s="5" t="s">
        <v>28</v>
      </c>
      <c r="C22" s="6" t="s">
        <v>206</v>
      </c>
      <c r="D22" s="6" t="s">
        <v>178</v>
      </c>
      <c r="E22" s="5" t="n">
        <v>6</v>
      </c>
      <c r="F22" s="8" t="n">
        <v>140000</v>
      </c>
      <c r="G22" s="9" t="n">
        <v>0.5</v>
      </c>
      <c r="H22" s="6" t="s">
        <v>169</v>
      </c>
    </row>
    <row r="23" customFormat="false" ht="17.15" hidden="false" customHeight="false" outlineLevel="0" collapsed="false">
      <c r="A23" s="5" t="s">
        <v>207</v>
      </c>
      <c r="B23" s="5" t="s">
        <v>31</v>
      </c>
      <c r="C23" s="6" t="s">
        <v>208</v>
      </c>
      <c r="D23" s="6" t="s">
        <v>162</v>
      </c>
      <c r="E23" s="5" t="n">
        <v>2</v>
      </c>
      <c r="F23" s="8" t="n">
        <v>170000</v>
      </c>
      <c r="G23" s="9" t="n">
        <v>0.3</v>
      </c>
      <c r="H23" s="6" t="s">
        <v>45</v>
      </c>
    </row>
    <row r="24" customFormat="false" ht="17.15" hidden="false" customHeight="false" outlineLevel="0" collapsed="false">
      <c r="A24" s="5" t="s">
        <v>209</v>
      </c>
      <c r="B24" s="5" t="s">
        <v>31</v>
      </c>
      <c r="C24" s="6" t="s">
        <v>210</v>
      </c>
      <c r="D24" s="6" t="s">
        <v>168</v>
      </c>
      <c r="E24" s="5" t="n">
        <v>4</v>
      </c>
      <c r="F24" s="8" t="n">
        <v>220000</v>
      </c>
      <c r="G24" s="9" t="n">
        <v>0.4</v>
      </c>
      <c r="H24" s="6" t="s">
        <v>169</v>
      </c>
    </row>
    <row r="25" customFormat="false" ht="17.15" hidden="false" customHeight="false" outlineLevel="0" collapsed="false">
      <c r="A25" s="5" t="s">
        <v>211</v>
      </c>
      <c r="B25" s="5" t="s">
        <v>31</v>
      </c>
      <c r="C25" s="6" t="s">
        <v>212</v>
      </c>
      <c r="D25" s="6" t="s">
        <v>178</v>
      </c>
      <c r="E25" s="5" t="n">
        <v>6</v>
      </c>
      <c r="F25" s="8" t="n">
        <v>180000</v>
      </c>
      <c r="G25" s="9" t="n">
        <v>0.5</v>
      </c>
      <c r="H25" s="6" t="s">
        <v>169</v>
      </c>
    </row>
  </sheetData>
  <autoFilter ref="A1:H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6" min="6" style="0" width="15"/>
    <col collapsed="false" customWidth="true" hidden="false" outlineLevel="0" max="7" min="7" style="0" width="18"/>
  </cols>
  <sheetData>
    <row r="1" customFormat="false" ht="32.8" hidden="false" customHeight="false" outlineLevel="0" collapsed="false">
      <c r="A1" s="4" t="s">
        <v>213</v>
      </c>
      <c r="B1" s="4" t="s">
        <v>7</v>
      </c>
      <c r="C1" s="4" t="s">
        <v>214</v>
      </c>
      <c r="D1" s="4" t="s">
        <v>215</v>
      </c>
      <c r="E1" s="4" t="s">
        <v>36</v>
      </c>
      <c r="F1" s="7" t="s">
        <v>216</v>
      </c>
      <c r="G1" s="4" t="s">
        <v>37</v>
      </c>
    </row>
    <row r="2" customFormat="false" ht="17.15" hidden="false" customHeight="false" outlineLevel="0" collapsed="false">
      <c r="A2" s="5" t="s">
        <v>217</v>
      </c>
      <c r="B2" s="5" t="s">
        <v>11</v>
      </c>
      <c r="C2" s="6" t="s">
        <v>218</v>
      </c>
      <c r="D2" s="6" t="s">
        <v>219</v>
      </c>
      <c r="E2" s="6" t="s">
        <v>220</v>
      </c>
      <c r="F2" s="8" t="n">
        <v>31000</v>
      </c>
      <c r="G2" s="6" t="s">
        <v>49</v>
      </c>
    </row>
    <row r="3" customFormat="false" ht="17.15" hidden="false" customHeight="false" outlineLevel="0" collapsed="false">
      <c r="A3" s="5" t="s">
        <v>221</v>
      </c>
      <c r="B3" s="5" t="s">
        <v>11</v>
      </c>
      <c r="C3" s="6" t="s">
        <v>222</v>
      </c>
      <c r="D3" s="6" t="s">
        <v>223</v>
      </c>
      <c r="E3" s="6" t="s">
        <v>224</v>
      </c>
      <c r="F3" s="8" t="n">
        <v>9000</v>
      </c>
      <c r="G3" s="6" t="s">
        <v>45</v>
      </c>
    </row>
    <row r="4" customFormat="false" ht="17.15" hidden="false" customHeight="false" outlineLevel="0" collapsed="false">
      <c r="A4" s="5" t="s">
        <v>225</v>
      </c>
      <c r="B4" s="5" t="s">
        <v>11</v>
      </c>
      <c r="C4" s="6" t="s">
        <v>226</v>
      </c>
      <c r="D4" s="6" t="s">
        <v>227</v>
      </c>
      <c r="E4" s="6" t="s">
        <v>220</v>
      </c>
      <c r="F4" s="8" t="n">
        <v>21000</v>
      </c>
      <c r="G4" s="6" t="s">
        <v>83</v>
      </c>
    </row>
    <row r="5" customFormat="false" ht="17.15" hidden="false" customHeight="false" outlineLevel="0" collapsed="false">
      <c r="A5" s="5" t="s">
        <v>228</v>
      </c>
      <c r="B5" s="5" t="s">
        <v>11</v>
      </c>
      <c r="C5" s="6" t="s">
        <v>229</v>
      </c>
      <c r="D5" s="6" t="s">
        <v>230</v>
      </c>
      <c r="E5" s="6" t="s">
        <v>220</v>
      </c>
      <c r="F5" s="8" t="n">
        <v>10000</v>
      </c>
      <c r="G5" s="6" t="s">
        <v>231</v>
      </c>
    </row>
    <row r="6" customFormat="false" ht="17.15" hidden="false" customHeight="false" outlineLevel="0" collapsed="false">
      <c r="A6" s="5" t="s">
        <v>232</v>
      </c>
      <c r="B6" s="5" t="s">
        <v>15</v>
      </c>
      <c r="C6" s="6" t="s">
        <v>233</v>
      </c>
      <c r="D6" s="6" t="s">
        <v>234</v>
      </c>
      <c r="E6" s="6" t="s">
        <v>235</v>
      </c>
      <c r="F6" s="8" t="n">
        <v>21000</v>
      </c>
      <c r="G6" s="6" t="s">
        <v>61</v>
      </c>
    </row>
    <row r="7" customFormat="false" ht="17.15" hidden="false" customHeight="false" outlineLevel="0" collapsed="false">
      <c r="A7" s="5" t="s">
        <v>236</v>
      </c>
      <c r="B7" s="5" t="s">
        <v>15</v>
      </c>
      <c r="C7" s="6" t="s">
        <v>237</v>
      </c>
      <c r="D7" s="6" t="s">
        <v>219</v>
      </c>
      <c r="E7" s="6" t="s">
        <v>220</v>
      </c>
      <c r="F7" s="8" t="n">
        <v>28000</v>
      </c>
      <c r="G7" s="6" t="s">
        <v>49</v>
      </c>
    </row>
    <row r="8" customFormat="false" ht="17.15" hidden="false" customHeight="false" outlineLevel="0" collapsed="false">
      <c r="A8" s="5" t="s">
        <v>238</v>
      </c>
      <c r="B8" s="5" t="s">
        <v>15</v>
      </c>
      <c r="C8" s="6" t="s">
        <v>239</v>
      </c>
      <c r="D8" s="6" t="s">
        <v>240</v>
      </c>
      <c r="E8" s="6" t="s">
        <v>220</v>
      </c>
      <c r="F8" s="8" t="n">
        <v>10000</v>
      </c>
      <c r="G8" s="6" t="s">
        <v>49</v>
      </c>
    </row>
    <row r="9" customFormat="false" ht="17.15" hidden="false" customHeight="false" outlineLevel="0" collapsed="false">
      <c r="A9" s="5" t="s">
        <v>241</v>
      </c>
      <c r="B9" s="5" t="s">
        <v>15</v>
      </c>
      <c r="C9" s="6" t="s">
        <v>242</v>
      </c>
      <c r="D9" s="6" t="s">
        <v>223</v>
      </c>
      <c r="E9" s="6" t="s">
        <v>224</v>
      </c>
      <c r="F9" s="8" t="n">
        <v>10000</v>
      </c>
      <c r="G9" s="6" t="s">
        <v>45</v>
      </c>
    </row>
    <row r="10" customFormat="false" ht="17.15" hidden="false" customHeight="false" outlineLevel="0" collapsed="false">
      <c r="A10" s="5" t="s">
        <v>243</v>
      </c>
      <c r="B10" s="5" t="s">
        <v>17</v>
      </c>
      <c r="C10" s="6" t="s">
        <v>244</v>
      </c>
      <c r="D10" s="6" t="s">
        <v>227</v>
      </c>
      <c r="E10" s="6" t="s">
        <v>220</v>
      </c>
      <c r="F10" s="8" t="n">
        <v>18000</v>
      </c>
      <c r="G10" s="6" t="s">
        <v>83</v>
      </c>
    </row>
    <row r="11" customFormat="false" ht="17.15" hidden="false" customHeight="false" outlineLevel="0" collapsed="false">
      <c r="A11" s="5" t="s">
        <v>245</v>
      </c>
      <c r="B11" s="5" t="s">
        <v>17</v>
      </c>
      <c r="C11" s="6" t="s">
        <v>246</v>
      </c>
      <c r="D11" s="6" t="s">
        <v>219</v>
      </c>
      <c r="E11" s="6" t="s">
        <v>220</v>
      </c>
      <c r="F11" s="8" t="n">
        <v>27000</v>
      </c>
      <c r="G11" s="6" t="s">
        <v>49</v>
      </c>
    </row>
    <row r="12" customFormat="false" ht="17.15" hidden="false" customHeight="false" outlineLevel="0" collapsed="false">
      <c r="A12" s="5" t="s">
        <v>247</v>
      </c>
      <c r="B12" s="5" t="s">
        <v>17</v>
      </c>
      <c r="C12" s="6" t="s">
        <v>248</v>
      </c>
      <c r="D12" s="6" t="s">
        <v>240</v>
      </c>
      <c r="E12" s="6" t="s">
        <v>220</v>
      </c>
      <c r="F12" s="8" t="n">
        <v>13000</v>
      </c>
      <c r="G12" s="6" t="s">
        <v>49</v>
      </c>
    </row>
    <row r="13" customFormat="false" ht="17.15" hidden="false" customHeight="false" outlineLevel="0" collapsed="false">
      <c r="A13" s="5" t="s">
        <v>249</v>
      </c>
      <c r="B13" s="5" t="s">
        <v>17</v>
      </c>
      <c r="C13" s="6" t="s">
        <v>250</v>
      </c>
      <c r="D13" s="6" t="s">
        <v>223</v>
      </c>
      <c r="E13" s="6" t="s">
        <v>224</v>
      </c>
      <c r="F13" s="8" t="n">
        <v>14000</v>
      </c>
      <c r="G13" s="6" t="s">
        <v>45</v>
      </c>
    </row>
    <row r="14" customFormat="false" ht="17.15" hidden="false" customHeight="false" outlineLevel="0" collapsed="false">
      <c r="A14" s="5" t="s">
        <v>251</v>
      </c>
      <c r="B14" s="5" t="s">
        <v>19</v>
      </c>
      <c r="C14" s="6" t="s">
        <v>252</v>
      </c>
      <c r="D14" s="6" t="s">
        <v>234</v>
      </c>
      <c r="E14" s="6" t="s">
        <v>235</v>
      </c>
      <c r="F14" s="8" t="n">
        <v>31000</v>
      </c>
      <c r="G14" s="6" t="s">
        <v>61</v>
      </c>
    </row>
    <row r="15" customFormat="false" ht="17.15" hidden="false" customHeight="false" outlineLevel="0" collapsed="false">
      <c r="A15" s="5" t="s">
        <v>253</v>
      </c>
      <c r="B15" s="5" t="s">
        <v>19</v>
      </c>
      <c r="C15" s="6" t="s">
        <v>254</v>
      </c>
      <c r="D15" s="6" t="s">
        <v>240</v>
      </c>
      <c r="E15" s="6" t="s">
        <v>220</v>
      </c>
      <c r="F15" s="8" t="n">
        <v>17000</v>
      </c>
      <c r="G15" s="6" t="s">
        <v>49</v>
      </c>
    </row>
    <row r="16" customFormat="false" ht="17.15" hidden="false" customHeight="false" outlineLevel="0" collapsed="false">
      <c r="A16" s="5" t="s">
        <v>255</v>
      </c>
      <c r="B16" s="5" t="s">
        <v>19</v>
      </c>
      <c r="C16" s="6" t="s">
        <v>256</v>
      </c>
      <c r="D16" s="6" t="s">
        <v>227</v>
      </c>
      <c r="E16" s="6" t="s">
        <v>220</v>
      </c>
      <c r="F16" s="8" t="n">
        <v>19000</v>
      </c>
      <c r="G16" s="6" t="s">
        <v>83</v>
      </c>
    </row>
    <row r="17" customFormat="false" ht="17.15" hidden="false" customHeight="false" outlineLevel="0" collapsed="false">
      <c r="A17" s="5" t="s">
        <v>257</v>
      </c>
      <c r="B17" s="5" t="s">
        <v>19</v>
      </c>
      <c r="C17" s="6" t="s">
        <v>258</v>
      </c>
      <c r="D17" s="6" t="s">
        <v>223</v>
      </c>
      <c r="E17" s="6" t="s">
        <v>224</v>
      </c>
      <c r="F17" s="8" t="n">
        <v>9000</v>
      </c>
      <c r="G17" s="6" t="s">
        <v>45</v>
      </c>
    </row>
    <row r="18" customFormat="false" ht="17.15" hidden="false" customHeight="false" outlineLevel="0" collapsed="false">
      <c r="A18" s="5" t="s">
        <v>259</v>
      </c>
      <c r="B18" s="5" t="s">
        <v>22</v>
      </c>
      <c r="C18" s="6" t="s">
        <v>260</v>
      </c>
      <c r="D18" s="6" t="s">
        <v>223</v>
      </c>
      <c r="E18" s="6" t="s">
        <v>224</v>
      </c>
      <c r="F18" s="8" t="n">
        <v>12000</v>
      </c>
      <c r="G18" s="6" t="s">
        <v>45</v>
      </c>
    </row>
    <row r="19" customFormat="false" ht="17.15" hidden="false" customHeight="false" outlineLevel="0" collapsed="false">
      <c r="A19" s="5" t="s">
        <v>261</v>
      </c>
      <c r="B19" s="5" t="s">
        <v>22</v>
      </c>
      <c r="C19" s="6" t="s">
        <v>262</v>
      </c>
      <c r="D19" s="6" t="s">
        <v>230</v>
      </c>
      <c r="E19" s="6" t="s">
        <v>220</v>
      </c>
      <c r="F19" s="8" t="n">
        <v>7000</v>
      </c>
      <c r="G19" s="6" t="s">
        <v>231</v>
      </c>
    </row>
    <row r="20" customFormat="false" ht="17.15" hidden="false" customHeight="false" outlineLevel="0" collapsed="false">
      <c r="A20" s="5" t="s">
        <v>263</v>
      </c>
      <c r="B20" s="5" t="s">
        <v>22</v>
      </c>
      <c r="C20" s="6" t="s">
        <v>264</v>
      </c>
      <c r="D20" s="6" t="s">
        <v>227</v>
      </c>
      <c r="E20" s="6" t="s">
        <v>220</v>
      </c>
      <c r="F20" s="8" t="n">
        <v>20000</v>
      </c>
      <c r="G20" s="6" t="s">
        <v>83</v>
      </c>
    </row>
    <row r="21" customFormat="false" ht="17.15" hidden="false" customHeight="false" outlineLevel="0" collapsed="false">
      <c r="A21" s="5" t="s">
        <v>265</v>
      </c>
      <c r="B21" s="5" t="s">
        <v>22</v>
      </c>
      <c r="C21" s="6" t="s">
        <v>266</v>
      </c>
      <c r="D21" s="6" t="s">
        <v>234</v>
      </c>
      <c r="E21" s="6" t="s">
        <v>235</v>
      </c>
      <c r="F21" s="8" t="n">
        <v>23000</v>
      </c>
      <c r="G21" s="6" t="s">
        <v>61</v>
      </c>
    </row>
    <row r="22" customFormat="false" ht="17.15" hidden="false" customHeight="false" outlineLevel="0" collapsed="false">
      <c r="A22" s="5" t="s">
        <v>267</v>
      </c>
      <c r="B22" s="5" t="s">
        <v>25</v>
      </c>
      <c r="C22" s="6" t="s">
        <v>268</v>
      </c>
      <c r="D22" s="6" t="s">
        <v>230</v>
      </c>
      <c r="E22" s="6" t="s">
        <v>220</v>
      </c>
      <c r="F22" s="8" t="n">
        <v>12000</v>
      </c>
      <c r="G22" s="6" t="s">
        <v>231</v>
      </c>
    </row>
    <row r="23" customFormat="false" ht="17.15" hidden="false" customHeight="false" outlineLevel="0" collapsed="false">
      <c r="A23" s="5" t="s">
        <v>269</v>
      </c>
      <c r="B23" s="5" t="s">
        <v>25</v>
      </c>
      <c r="C23" s="6" t="s">
        <v>270</v>
      </c>
      <c r="D23" s="6" t="s">
        <v>240</v>
      </c>
      <c r="E23" s="6" t="s">
        <v>220</v>
      </c>
      <c r="F23" s="8" t="n">
        <v>12000</v>
      </c>
      <c r="G23" s="6" t="s">
        <v>49</v>
      </c>
    </row>
    <row r="24" customFormat="false" ht="17.15" hidden="false" customHeight="false" outlineLevel="0" collapsed="false">
      <c r="A24" s="5" t="s">
        <v>271</v>
      </c>
      <c r="B24" s="5" t="s">
        <v>25</v>
      </c>
      <c r="C24" s="6" t="s">
        <v>272</v>
      </c>
      <c r="D24" s="6" t="s">
        <v>227</v>
      </c>
      <c r="E24" s="6" t="s">
        <v>220</v>
      </c>
      <c r="F24" s="8" t="n">
        <v>26000</v>
      </c>
      <c r="G24" s="6" t="s">
        <v>83</v>
      </c>
    </row>
    <row r="25" customFormat="false" ht="17.15" hidden="false" customHeight="false" outlineLevel="0" collapsed="false">
      <c r="A25" s="5" t="s">
        <v>273</v>
      </c>
      <c r="B25" s="5" t="s">
        <v>25</v>
      </c>
      <c r="C25" s="6" t="s">
        <v>274</v>
      </c>
      <c r="D25" s="6" t="s">
        <v>234</v>
      </c>
      <c r="E25" s="6" t="s">
        <v>235</v>
      </c>
      <c r="F25" s="8" t="n">
        <v>20000</v>
      </c>
      <c r="G25" s="6" t="s">
        <v>61</v>
      </c>
    </row>
    <row r="26" customFormat="false" ht="17.15" hidden="false" customHeight="false" outlineLevel="0" collapsed="false">
      <c r="A26" s="5" t="s">
        <v>275</v>
      </c>
      <c r="B26" s="5" t="s">
        <v>28</v>
      </c>
      <c r="C26" s="6" t="s">
        <v>276</v>
      </c>
      <c r="D26" s="6" t="s">
        <v>234</v>
      </c>
      <c r="E26" s="6" t="s">
        <v>235</v>
      </c>
      <c r="F26" s="8" t="n">
        <v>20000</v>
      </c>
      <c r="G26" s="6" t="s">
        <v>61</v>
      </c>
    </row>
    <row r="27" customFormat="false" ht="17.15" hidden="false" customHeight="false" outlineLevel="0" collapsed="false">
      <c r="A27" s="5" t="s">
        <v>277</v>
      </c>
      <c r="B27" s="5" t="s">
        <v>28</v>
      </c>
      <c r="C27" s="6" t="s">
        <v>278</v>
      </c>
      <c r="D27" s="6" t="s">
        <v>227</v>
      </c>
      <c r="E27" s="6" t="s">
        <v>220</v>
      </c>
      <c r="F27" s="8" t="n">
        <v>30000</v>
      </c>
      <c r="G27" s="6" t="s">
        <v>83</v>
      </c>
    </row>
    <row r="28" customFormat="false" ht="17.15" hidden="false" customHeight="false" outlineLevel="0" collapsed="false">
      <c r="A28" s="5" t="s">
        <v>279</v>
      </c>
      <c r="B28" s="5" t="s">
        <v>28</v>
      </c>
      <c r="C28" s="6" t="s">
        <v>280</v>
      </c>
      <c r="D28" s="6" t="s">
        <v>240</v>
      </c>
      <c r="E28" s="6" t="s">
        <v>220</v>
      </c>
      <c r="F28" s="8" t="n">
        <v>18000</v>
      </c>
      <c r="G28" s="6" t="s">
        <v>49</v>
      </c>
    </row>
    <row r="29" customFormat="false" ht="17.15" hidden="false" customHeight="false" outlineLevel="0" collapsed="false">
      <c r="A29" s="5" t="s">
        <v>281</v>
      </c>
      <c r="B29" s="5" t="s">
        <v>28</v>
      </c>
      <c r="C29" s="6" t="s">
        <v>282</v>
      </c>
      <c r="D29" s="6" t="s">
        <v>219</v>
      </c>
      <c r="E29" s="6" t="s">
        <v>220</v>
      </c>
      <c r="F29" s="8" t="n">
        <v>34000</v>
      </c>
      <c r="G29" s="6" t="s">
        <v>49</v>
      </c>
    </row>
    <row r="30" customFormat="false" ht="17.15" hidden="false" customHeight="false" outlineLevel="0" collapsed="false">
      <c r="A30" s="5" t="s">
        <v>283</v>
      </c>
      <c r="B30" s="5" t="s">
        <v>31</v>
      </c>
      <c r="C30" s="6" t="s">
        <v>284</v>
      </c>
      <c r="D30" s="6" t="s">
        <v>230</v>
      </c>
      <c r="E30" s="6" t="s">
        <v>220</v>
      </c>
      <c r="F30" s="8" t="n">
        <v>9000</v>
      </c>
      <c r="G30" s="6" t="s">
        <v>231</v>
      </c>
    </row>
    <row r="31" customFormat="false" ht="17.15" hidden="false" customHeight="false" outlineLevel="0" collapsed="false">
      <c r="A31" s="5" t="s">
        <v>285</v>
      </c>
      <c r="B31" s="5" t="s">
        <v>31</v>
      </c>
      <c r="C31" s="6" t="s">
        <v>286</v>
      </c>
      <c r="D31" s="6" t="s">
        <v>219</v>
      </c>
      <c r="E31" s="6" t="s">
        <v>220</v>
      </c>
      <c r="F31" s="8" t="n">
        <v>30000</v>
      </c>
      <c r="G31" s="6" t="s">
        <v>49</v>
      </c>
    </row>
    <row r="32" customFormat="false" ht="17.15" hidden="false" customHeight="false" outlineLevel="0" collapsed="false">
      <c r="A32" s="5" t="s">
        <v>287</v>
      </c>
      <c r="B32" s="5" t="s">
        <v>31</v>
      </c>
      <c r="C32" s="6" t="s">
        <v>288</v>
      </c>
      <c r="D32" s="6" t="s">
        <v>240</v>
      </c>
      <c r="E32" s="6" t="s">
        <v>220</v>
      </c>
      <c r="F32" s="8" t="n">
        <v>15000</v>
      </c>
      <c r="G32" s="6" t="s">
        <v>49</v>
      </c>
    </row>
    <row r="33" customFormat="false" ht="17.15" hidden="false" customHeight="false" outlineLevel="0" collapsed="false">
      <c r="A33" s="5" t="s">
        <v>289</v>
      </c>
      <c r="B33" s="5" t="s">
        <v>31</v>
      </c>
      <c r="C33" s="6" t="s">
        <v>290</v>
      </c>
      <c r="D33" s="6" t="s">
        <v>223</v>
      </c>
      <c r="E33" s="6" t="s">
        <v>224</v>
      </c>
      <c r="F33" s="8" t="n">
        <v>11000</v>
      </c>
      <c r="G33" s="6" t="s">
        <v>45</v>
      </c>
    </row>
  </sheetData>
  <autoFilter ref="A1:G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3"/>
  </cols>
  <sheetData>
    <row r="1" customFormat="false" ht="32.8" hidden="false" customHeight="false" outlineLevel="0" collapsed="false">
      <c r="A1" s="4" t="s">
        <v>291</v>
      </c>
      <c r="B1" s="4" t="s">
        <v>292</v>
      </c>
      <c r="C1" s="4" t="s">
        <v>293</v>
      </c>
      <c r="D1" s="4" t="s">
        <v>294</v>
      </c>
      <c r="E1" s="4" t="s">
        <v>38</v>
      </c>
      <c r="F1" s="7" t="s">
        <v>295</v>
      </c>
    </row>
    <row r="2" customFormat="false" ht="17.15" hidden="false" customHeight="false" outlineLevel="0" collapsed="false">
      <c r="A2" s="5" t="s">
        <v>296</v>
      </c>
      <c r="B2" s="5" t="s">
        <v>11</v>
      </c>
      <c r="C2" s="5" t="s">
        <v>15</v>
      </c>
      <c r="D2" s="6" t="s">
        <v>297</v>
      </c>
      <c r="E2" s="5" t="n">
        <v>1.2</v>
      </c>
      <c r="F2" s="8" t="n">
        <v>0</v>
      </c>
    </row>
    <row r="3" customFormat="false" ht="15" hidden="false" customHeight="false" outlineLevel="0" collapsed="false">
      <c r="A3" s="5" t="s">
        <v>298</v>
      </c>
      <c r="B3" s="5" t="s">
        <v>11</v>
      </c>
      <c r="C3" s="5" t="s">
        <v>15</v>
      </c>
      <c r="D3" s="6" t="s">
        <v>299</v>
      </c>
      <c r="E3" s="5" t="n">
        <v>1.5</v>
      </c>
      <c r="F3" s="8" t="n">
        <v>9000</v>
      </c>
    </row>
    <row r="4" customFormat="false" ht="17.15" hidden="false" customHeight="false" outlineLevel="0" collapsed="false">
      <c r="A4" s="5" t="s">
        <v>300</v>
      </c>
      <c r="B4" s="5" t="s">
        <v>15</v>
      </c>
      <c r="C4" s="5" t="s">
        <v>17</v>
      </c>
      <c r="D4" s="6" t="s">
        <v>297</v>
      </c>
      <c r="E4" s="5" t="n">
        <v>0.5</v>
      </c>
      <c r="F4" s="8" t="n">
        <v>0</v>
      </c>
    </row>
    <row r="5" customFormat="false" ht="15" hidden="false" customHeight="false" outlineLevel="0" collapsed="false">
      <c r="A5" s="5" t="s">
        <v>301</v>
      </c>
      <c r="B5" s="5" t="s">
        <v>15</v>
      </c>
      <c r="C5" s="5" t="s">
        <v>17</v>
      </c>
      <c r="D5" s="6" t="s">
        <v>299</v>
      </c>
      <c r="E5" s="5" t="n">
        <v>0.7</v>
      </c>
      <c r="F5" s="8" t="n">
        <v>4000</v>
      </c>
    </row>
    <row r="6" customFormat="false" ht="17.15" hidden="false" customHeight="false" outlineLevel="0" collapsed="false">
      <c r="A6" s="5" t="s">
        <v>302</v>
      </c>
      <c r="B6" s="5" t="s">
        <v>11</v>
      </c>
      <c r="C6" s="5" t="s">
        <v>17</v>
      </c>
      <c r="D6" s="6" t="s">
        <v>297</v>
      </c>
      <c r="E6" s="5" t="n">
        <v>0.8</v>
      </c>
      <c r="F6" s="8" t="n">
        <v>0</v>
      </c>
    </row>
    <row r="7" customFormat="false" ht="17.15" hidden="false" customHeight="false" outlineLevel="0" collapsed="false">
      <c r="A7" s="5" t="s">
        <v>303</v>
      </c>
      <c r="B7" s="5" t="s">
        <v>11</v>
      </c>
      <c r="C7" s="5" t="s">
        <v>19</v>
      </c>
      <c r="D7" s="6" t="s">
        <v>297</v>
      </c>
      <c r="E7" s="5" t="n">
        <v>1</v>
      </c>
      <c r="F7" s="8" t="n">
        <v>0</v>
      </c>
    </row>
    <row r="8" customFormat="false" ht="15" hidden="false" customHeight="false" outlineLevel="0" collapsed="false">
      <c r="A8" s="5" t="s">
        <v>304</v>
      </c>
      <c r="B8" s="5" t="s">
        <v>11</v>
      </c>
      <c r="C8" s="5" t="s">
        <v>19</v>
      </c>
      <c r="D8" s="6" t="s">
        <v>299</v>
      </c>
      <c r="E8" s="5" t="n">
        <v>1.3</v>
      </c>
      <c r="F8" s="8" t="n">
        <v>8000</v>
      </c>
    </row>
    <row r="9" customFormat="false" ht="17.15" hidden="false" customHeight="false" outlineLevel="0" collapsed="false">
      <c r="A9" s="5" t="s">
        <v>305</v>
      </c>
      <c r="B9" s="5" t="s">
        <v>19</v>
      </c>
      <c r="C9" s="5" t="s">
        <v>15</v>
      </c>
      <c r="D9" s="6" t="s">
        <v>297</v>
      </c>
      <c r="E9" s="5" t="n">
        <v>1.8</v>
      </c>
      <c r="F9" s="8" t="n">
        <v>0</v>
      </c>
    </row>
    <row r="10" customFormat="false" ht="17.15" hidden="false" customHeight="false" outlineLevel="0" collapsed="false">
      <c r="A10" s="5" t="s">
        <v>306</v>
      </c>
      <c r="B10" s="5" t="s">
        <v>22</v>
      </c>
      <c r="C10" s="5" t="s">
        <v>25</v>
      </c>
      <c r="D10" s="6" t="s">
        <v>297</v>
      </c>
      <c r="E10" s="5" t="n">
        <v>1.3</v>
      </c>
      <c r="F10" s="8" t="n">
        <v>0</v>
      </c>
    </row>
    <row r="11" customFormat="false" ht="15" hidden="false" customHeight="false" outlineLevel="0" collapsed="false">
      <c r="A11" s="5" t="s">
        <v>307</v>
      </c>
      <c r="B11" s="5" t="s">
        <v>22</v>
      </c>
      <c r="C11" s="5" t="s">
        <v>25</v>
      </c>
      <c r="D11" s="6" t="s">
        <v>299</v>
      </c>
      <c r="E11" s="5" t="n">
        <v>1.5</v>
      </c>
      <c r="F11" s="8" t="n">
        <v>7000</v>
      </c>
    </row>
    <row r="12" customFormat="false" ht="17.15" hidden="false" customHeight="false" outlineLevel="0" collapsed="false">
      <c r="A12" s="5" t="s">
        <v>308</v>
      </c>
      <c r="B12" s="5" t="s">
        <v>25</v>
      </c>
      <c r="C12" s="5" t="s">
        <v>28</v>
      </c>
      <c r="D12" s="6" t="s">
        <v>297</v>
      </c>
      <c r="E12" s="5" t="n">
        <v>3</v>
      </c>
      <c r="F12" s="8" t="n">
        <v>0</v>
      </c>
    </row>
    <row r="13" customFormat="false" ht="15" hidden="false" customHeight="false" outlineLevel="0" collapsed="false">
      <c r="A13" s="5" t="s">
        <v>309</v>
      </c>
      <c r="B13" s="5" t="s">
        <v>25</v>
      </c>
      <c r="C13" s="5" t="s">
        <v>28</v>
      </c>
      <c r="D13" s="6" t="s">
        <v>299</v>
      </c>
      <c r="E13" s="5" t="n">
        <v>3.5</v>
      </c>
      <c r="F13" s="8" t="n">
        <v>22000</v>
      </c>
    </row>
    <row r="14" customFormat="false" ht="17.15" hidden="false" customHeight="false" outlineLevel="0" collapsed="false">
      <c r="A14" s="5" t="s">
        <v>310</v>
      </c>
      <c r="B14" s="5" t="s">
        <v>28</v>
      </c>
      <c r="C14" s="5" t="s">
        <v>31</v>
      </c>
      <c r="D14" s="6" t="s">
        <v>297</v>
      </c>
      <c r="E14" s="5" t="n">
        <v>2.3</v>
      </c>
      <c r="F14" s="8" t="n">
        <v>0</v>
      </c>
    </row>
    <row r="15" customFormat="false" ht="15" hidden="false" customHeight="false" outlineLevel="0" collapsed="false">
      <c r="A15" s="5" t="s">
        <v>311</v>
      </c>
      <c r="B15" s="5" t="s">
        <v>28</v>
      </c>
      <c r="C15" s="5" t="s">
        <v>31</v>
      </c>
      <c r="D15" s="6" t="s">
        <v>299</v>
      </c>
      <c r="E15" s="5" t="n">
        <v>2.7</v>
      </c>
      <c r="F15" s="8" t="n">
        <v>16000</v>
      </c>
    </row>
    <row r="16" customFormat="false" ht="17.15" hidden="false" customHeight="false" outlineLevel="0" collapsed="false">
      <c r="A16" s="5" t="s">
        <v>312</v>
      </c>
      <c r="B16" s="5" t="s">
        <v>31</v>
      </c>
      <c r="C16" s="5" t="s">
        <v>22</v>
      </c>
      <c r="D16" s="6" t="s">
        <v>297</v>
      </c>
      <c r="E16" s="5" t="n">
        <v>3.2</v>
      </c>
      <c r="F16" s="8" t="n">
        <v>0</v>
      </c>
    </row>
    <row r="17" customFormat="false" ht="17.15" hidden="false" customHeight="false" outlineLevel="0" collapsed="false">
      <c r="A17" s="5" t="s">
        <v>313</v>
      </c>
      <c r="B17" s="5" t="s">
        <v>22</v>
      </c>
      <c r="C17" s="5" t="s">
        <v>11</v>
      </c>
      <c r="D17" s="6" t="s">
        <v>297</v>
      </c>
      <c r="E17" s="5" t="n">
        <v>3.5</v>
      </c>
      <c r="F17" s="8" t="n">
        <v>0</v>
      </c>
    </row>
    <row r="19" customFormat="false" ht="17.15" hidden="false" customHeight="false" outlineLevel="0" collapsed="false">
      <c r="A19" s="10" t="s">
        <v>314</v>
      </c>
    </row>
  </sheetData>
  <autoFilter ref="A1:F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26"/>
  </cols>
  <sheetData>
    <row r="1" customFormat="false" ht="17.15" hidden="false" customHeight="false" outlineLevel="0" collapsed="false">
      <c r="A1" s="4" t="s">
        <v>315</v>
      </c>
      <c r="B1" s="4" t="s">
        <v>316</v>
      </c>
      <c r="C1" s="4" t="s">
        <v>317</v>
      </c>
    </row>
    <row r="2" customFormat="false" ht="15" hidden="false" customHeight="false" outlineLevel="0" collapsed="false">
      <c r="A2" s="6" t="s">
        <v>318</v>
      </c>
      <c r="B2" s="11" t="n">
        <v>0.05</v>
      </c>
      <c r="C2" s="6" t="s">
        <v>319</v>
      </c>
    </row>
    <row r="3" customFormat="false" ht="17.15" hidden="false" customHeight="false" outlineLevel="0" collapsed="false">
      <c r="A3" s="6" t="s">
        <v>320</v>
      </c>
      <c r="B3" s="12" t="n">
        <v>90000</v>
      </c>
      <c r="C3" s="6" t="s">
        <v>321</v>
      </c>
    </row>
    <row r="4" customFormat="false" ht="17.15" hidden="false" customHeight="false" outlineLevel="0" collapsed="false">
      <c r="A4" s="6" t="s">
        <v>322</v>
      </c>
      <c r="B4" s="13" t="n">
        <v>5</v>
      </c>
      <c r="C4" s="6" t="s">
        <v>323</v>
      </c>
    </row>
    <row r="5" customFormat="false" ht="17.15" hidden="false" customHeight="false" outlineLevel="0" collapsed="false">
      <c r="A5" s="6" t="s">
        <v>324</v>
      </c>
      <c r="B5" s="13" t="s">
        <v>325</v>
      </c>
      <c r="C5" s="6" t="s">
        <v>326</v>
      </c>
    </row>
    <row r="6" customFormat="false" ht="15" hidden="false" customHeight="false" outlineLevel="0" collapsed="false">
      <c r="A6" s="6" t="s">
        <v>327</v>
      </c>
      <c r="B6" s="13" t="s">
        <v>328</v>
      </c>
      <c r="C6" s="5"/>
    </row>
    <row r="7" customFormat="false" ht="17.15" hidden="false" customHeight="false" outlineLevel="0" collapsed="false">
      <c r="A7" s="6" t="s">
        <v>329</v>
      </c>
      <c r="B7" s="14" t="s">
        <v>330</v>
      </c>
      <c r="C7" s="6" t="s">
        <v>331</v>
      </c>
    </row>
    <row r="8" customFormat="false" ht="17.15" hidden="false" customHeight="false" outlineLevel="0" collapsed="false">
      <c r="A8" s="6" t="s">
        <v>332</v>
      </c>
      <c r="B8" s="13" t="n">
        <v>8</v>
      </c>
      <c r="C8" s="6" t="s">
        <v>333</v>
      </c>
    </row>
    <row r="9" customFormat="false" ht="17.15" hidden="false" customHeight="false" outlineLevel="0" collapsed="false">
      <c r="A9" s="6" t="s">
        <v>334</v>
      </c>
      <c r="B9" s="13" t="n">
        <v>3</v>
      </c>
      <c r="C9" s="5"/>
    </row>
    <row r="10" customFormat="false" ht="17.15" hidden="false" customHeight="false" outlineLevel="0" collapsed="false">
      <c r="A10" s="6" t="s">
        <v>335</v>
      </c>
      <c r="B10" s="13" t="n">
        <v>2</v>
      </c>
      <c r="C10" s="5"/>
    </row>
  </sheetData>
  <autoFilter ref="A1:C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6"/>
    <col collapsed="false" customWidth="true" hidden="false" outlineLevel="0" max="6" min="4" style="0" width="14"/>
  </cols>
  <sheetData>
    <row r="1" customFormat="false" ht="19.7" hidden="false" customHeight="false" outlineLevel="0" collapsed="false">
      <c r="A1" s="15" t="s">
        <v>336</v>
      </c>
    </row>
    <row r="3" customFormat="false" ht="17.15" hidden="false" customHeight="false" outlineLevel="0" collapsed="false">
      <c r="A3" s="16" t="s">
        <v>337</v>
      </c>
      <c r="B3" s="17" t="s">
        <v>338</v>
      </c>
    </row>
    <row r="4" customFormat="false" ht="17.15" hidden="false" customHeight="false" outlineLevel="0" collapsed="false">
      <c r="A4" s="16" t="s">
        <v>339</v>
      </c>
      <c r="B4" s="17" t="s">
        <v>340</v>
      </c>
    </row>
    <row r="5" customFormat="false" ht="15" hidden="false" customHeight="false" outlineLevel="0" collapsed="false">
      <c r="A5" s="16" t="s">
        <v>341</v>
      </c>
      <c r="B5" s="18" t="s">
        <v>342</v>
      </c>
    </row>
    <row r="6" customFormat="false" ht="17.15" hidden="false" customHeight="false" outlineLevel="0" collapsed="false">
      <c r="A6" s="16" t="s">
        <v>343</v>
      </c>
      <c r="B6" s="18" t="s">
        <v>344</v>
      </c>
    </row>
    <row r="7" customFormat="false" ht="17.15" hidden="false" customHeight="false" outlineLevel="0" collapsed="false">
      <c r="A7" s="16" t="s">
        <v>345</v>
      </c>
      <c r="B7" s="18" t="n">
        <v>2</v>
      </c>
    </row>
    <row r="8" customFormat="false" ht="17.15" hidden="false" customHeight="false" outlineLevel="0" collapsed="false">
      <c r="A8" s="16" t="s">
        <v>346</v>
      </c>
      <c r="B8" s="18" t="n">
        <v>2</v>
      </c>
    </row>
    <row r="10" customFormat="false" ht="17.15" hidden="false" customHeight="false" outlineLevel="0" collapsed="false">
      <c r="A10" s="19" t="s">
        <v>347</v>
      </c>
      <c r="B10" s="19" t="s">
        <v>348</v>
      </c>
      <c r="C10" s="19" t="s">
        <v>349</v>
      </c>
      <c r="D10" s="19" t="s">
        <v>350</v>
      </c>
      <c r="E10" s="19" t="s">
        <v>351</v>
      </c>
      <c r="F10" s="19" t="s">
        <v>352</v>
      </c>
    </row>
    <row r="11" customFormat="false" ht="17.15" hidden="false" customHeight="false" outlineLevel="0" collapsed="false">
      <c r="A11" s="14" t="s">
        <v>353</v>
      </c>
      <c r="B11" s="13" t="s">
        <v>160</v>
      </c>
      <c r="C11" s="5" t="str">
        <f aca="false">IFERROR(INDEX(숙소!$C:$C,MATCH($B11,숙소!$A:$A,0)),"데이터 없음")</f>
        <v>강릉 호텔 A</v>
      </c>
      <c r="D11" s="8" t="n">
        <f aca="false">IFERROR(INDEX(숙소!$F:$F,MATCH($B11,숙소!$A:$A,0)),0)</f>
        <v>130000</v>
      </c>
      <c r="E11" s="13" t="n">
        <v>4</v>
      </c>
      <c r="F11" s="8" t="n">
        <f aca="false">D11*E11</f>
        <v>520000</v>
      </c>
    </row>
    <row r="12" customFormat="false" ht="17.15" hidden="false" customHeight="false" outlineLevel="0" collapsed="false">
      <c r="A12" s="14" t="s">
        <v>354</v>
      </c>
      <c r="B12" s="13" t="s">
        <v>42</v>
      </c>
      <c r="C12" s="5" t="str">
        <f aca="false">IFERROR(INDEX(명소!$C:$C,MATCH($B12,명소!$A:$A,0)),"데이터 없음")</f>
        <v>강릉 카페거리 A</v>
      </c>
      <c r="D12" s="8" t="n">
        <f aca="false">IFERROR(INDEX(명소!$G:$G,MATCH($B12,명소!$A:$A,0)),0)</f>
        <v>0</v>
      </c>
      <c r="E12" s="13" t="n">
        <v>4</v>
      </c>
      <c r="F12" s="8" t="n">
        <f aca="false">D12*E12</f>
        <v>0</v>
      </c>
    </row>
    <row r="13" customFormat="false" ht="17.15" hidden="false" customHeight="false" outlineLevel="0" collapsed="false">
      <c r="A13" s="14" t="s">
        <v>354</v>
      </c>
      <c r="B13" s="13" t="s">
        <v>46</v>
      </c>
      <c r="C13" s="5" t="str">
        <f aca="false">IFERROR(INDEX(명소!$C:$C,MATCH($B13,명소!$A:$A,0)),"데이터 없음")</f>
        <v>강릉 전통시장 B</v>
      </c>
      <c r="D13" s="8" t="n">
        <f aca="false">IFERROR(INDEX(명소!$G:$G,MATCH($B13,명소!$A:$A,0)),0)</f>
        <v>0</v>
      </c>
      <c r="E13" s="13" t="n">
        <v>4</v>
      </c>
      <c r="F13" s="8" t="n">
        <f aca="false">D13*E13</f>
        <v>0</v>
      </c>
    </row>
    <row r="14" customFormat="false" ht="17.15" hidden="false" customHeight="false" outlineLevel="0" collapsed="false">
      <c r="A14" s="14" t="s">
        <v>355</v>
      </c>
      <c r="B14" s="13" t="s">
        <v>217</v>
      </c>
      <c r="C14" s="5" t="str">
        <f aca="false">IFERROR(INDEX(식당!$C:$C,MATCH($B14,식당!$A:$A,0)),"데이터 없음")</f>
        <v>강릉 해산물 A</v>
      </c>
      <c r="D14" s="8" t="n">
        <f aca="false">IFERROR(INDEX(식당!$F:$F,MATCH($B14,식당!$A:$A,0)),0)</f>
        <v>31000</v>
      </c>
      <c r="E14" s="13" t="n">
        <v>4</v>
      </c>
      <c r="F14" s="8" t="n">
        <f aca="false">D14*E14</f>
        <v>124000</v>
      </c>
    </row>
    <row r="15" customFormat="false" ht="17.15" hidden="false" customHeight="false" outlineLevel="0" collapsed="false">
      <c r="A15" s="14" t="s">
        <v>355</v>
      </c>
      <c r="B15" s="13" t="s">
        <v>232</v>
      </c>
      <c r="C15" s="5" t="str">
        <f aca="false">IFERROR(INDEX(식당!$C:$C,MATCH($B15,식당!$A:$A,0)),"데이터 없음")</f>
        <v>속초 한정식 A</v>
      </c>
      <c r="D15" s="8" t="n">
        <f aca="false">IFERROR(INDEX(식당!$F:$F,MATCH($B15,식당!$A:$A,0)),0)</f>
        <v>21000</v>
      </c>
      <c r="E15" s="13" t="n">
        <v>4</v>
      </c>
      <c r="F15" s="8" t="n">
        <f aca="false">D15*E15</f>
        <v>84000</v>
      </c>
    </row>
    <row r="16" customFormat="false" ht="17.15" hidden="false" customHeight="false" outlineLevel="0" collapsed="false">
      <c r="A16" s="14" t="s">
        <v>356</v>
      </c>
      <c r="B16" s="13" t="s">
        <v>296</v>
      </c>
      <c r="C16" s="5" t="str">
        <f aca="false">IFERROR(INDEX(교통!$B:$B,MATCH($B16,교통!$A:$A,0))&amp;"→"&amp;INDEX(교통!$C:$C,MATCH($B16,교통!$A:$A,0))&amp;" "&amp;INDEX(교통!$D:$D,MATCH($B16,교통!$A:$A,0)),"데이터 없음")</f>
        <v>GN→SC 자가용·렌터카</v>
      </c>
      <c r="D16" s="8" t="n">
        <f aca="false">IFERROR(INDEX(교통!$F:$F,MATCH($B16,교통!$A:$A,0)),0)</f>
        <v>0</v>
      </c>
      <c r="E16" s="13" t="n">
        <v>4</v>
      </c>
      <c r="F16" s="8" t="n">
        <f aca="false">D16*E16</f>
        <v>0</v>
      </c>
    </row>
    <row r="17" customFormat="false" ht="15" hidden="false" customHeight="false" outlineLevel="0" collapsed="false">
      <c r="E17" s="20" t="s">
        <v>357</v>
      </c>
      <c r="F17" s="8" t="n">
        <f aca="false">SUM(F11:F16)</f>
        <v>728000</v>
      </c>
    </row>
    <row r="18" customFormat="false" ht="15" hidden="false" customHeight="false" outlineLevel="0" collapsed="false">
      <c r="E18" s="20" t="s">
        <v>358</v>
      </c>
      <c r="F18" s="8" t="n">
        <f aca="false">F17*견적기준!$B$2</f>
        <v>36400</v>
      </c>
    </row>
    <row r="19" customFormat="false" ht="15" hidden="false" customHeight="false" outlineLevel="0" collapsed="false">
      <c r="E19" s="20" t="s">
        <v>359</v>
      </c>
      <c r="F19" s="21" t="n">
        <f aca="false">F17+F18</f>
        <v>764400</v>
      </c>
    </row>
    <row r="21" customFormat="false" ht="17.15" hidden="false" customHeight="false" outlineLevel="0" collapsed="false">
      <c r="A21" s="10" t="s">
        <v>360</v>
      </c>
    </row>
    <row r="22" customFormat="false" ht="17.15" hidden="false" customHeight="false" outlineLevel="0" collapsed="false">
      <c r="A22" s="10" t="s">
        <v>361</v>
      </c>
    </row>
    <row r="23" customFormat="false" ht="17.15" hidden="false" customHeight="false" outlineLevel="0" collapsed="false">
      <c r="A23" s="22" t="s">
        <v>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2026-10-30T10:18:35Z</dcterms:created>
  <dc:creator>openpyxl</dc:creator>
  <dc:description/>
  <dc:language>en-US</dc:language>
  <cp:lastModifiedBy/>
  <dcterms:modified xsi:type="dcterms:W3CDTF">2026-10-30T10:18:35Z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